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coreus.sharepoint.com/sites/6Sigma-QAMInventoryReduction/Shared Documents/General/"/>
    </mc:Choice>
  </mc:AlternateContent>
  <xr:revisionPtr revIDLastSave="986" documentId="F3C03BD91FE3AE83B8824E94E2F1732A45538F93" xr6:coauthVersionLast="23" xr6:coauthVersionMax="23" xr10:uidLastSave="{4D609A8A-588F-4479-B0F2-9F8ECA10161F}"/>
  <bookViews>
    <workbookView xWindow="0" yWindow="0" windowWidth="23040" windowHeight="10308" xr2:uid="{F57F791B-2288-430F-96B3-567048AA9FAA}"/>
  </bookViews>
  <sheets>
    <sheet name="INVENTORY DATA" sheetId="1" r:id="rId1"/>
    <sheet name="Sheet5" sheetId="11" r:id="rId2"/>
    <sheet name="Sheet2" sheetId="4" r:id="rId3"/>
    <sheet name="Sheet4" sheetId="10" r:id="rId4"/>
  </sheets>
  <definedNames>
    <definedName name="_xlnm._FilterDatabase" localSheetId="0" hidden="1">'INVENTORY DATA'!$A$3:$EL$50</definedName>
  </definedNam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N2" i="1" l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EL50" i="1" s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EL49" i="1" s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EL48" i="1" s="1"/>
  <c r="DP48" i="1"/>
  <c r="DO48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EL46" i="1" s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EL44" i="1" s="1"/>
  <c r="DP44" i="1"/>
  <c r="DO44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EL42" i="1" s="1"/>
  <c r="EK41" i="1"/>
  <c r="EJ41" i="1"/>
  <c r="EI41" i="1"/>
  <c r="EH41" i="1"/>
  <c r="EG41" i="1"/>
  <c r="EF41" i="1"/>
  <c r="EE41" i="1"/>
  <c r="ED41" i="1"/>
  <c r="EC41" i="1"/>
  <c r="EB41" i="1"/>
  <c r="EA41" i="1"/>
  <c r="DZ41" i="1"/>
  <c r="DY41" i="1"/>
  <c r="DX41" i="1"/>
  <c r="DW41" i="1"/>
  <c r="DV41" i="1"/>
  <c r="DU41" i="1"/>
  <c r="DT41" i="1"/>
  <c r="DS41" i="1"/>
  <c r="DR41" i="1"/>
  <c r="DQ41" i="1"/>
  <c r="DP41" i="1"/>
  <c r="DO41" i="1"/>
  <c r="EL41" i="1" s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EL40" i="1" s="1"/>
  <c r="DP40" i="1"/>
  <c r="DO40" i="1"/>
  <c r="EK39" i="1"/>
  <c r="EJ39" i="1"/>
  <c r="EI39" i="1"/>
  <c r="EH39" i="1"/>
  <c r="EG39" i="1"/>
  <c r="EF39" i="1"/>
  <c r="EE39" i="1"/>
  <c r="ED39" i="1"/>
  <c r="EC39" i="1"/>
  <c r="EB39" i="1"/>
  <c r="EA39" i="1"/>
  <c r="DZ39" i="1"/>
  <c r="DY39" i="1"/>
  <c r="DX39" i="1"/>
  <c r="DW39" i="1"/>
  <c r="DV39" i="1"/>
  <c r="DU39" i="1"/>
  <c r="DT39" i="1"/>
  <c r="DS39" i="1"/>
  <c r="DR39" i="1"/>
  <c r="DQ39" i="1"/>
  <c r="DP39" i="1"/>
  <c r="DO39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EL38" i="1" s="1"/>
  <c r="EK37" i="1"/>
  <c r="EJ37" i="1"/>
  <c r="EI37" i="1"/>
  <c r="EH37" i="1"/>
  <c r="EG37" i="1"/>
  <c r="EF37" i="1"/>
  <c r="EE37" i="1"/>
  <c r="ED37" i="1"/>
  <c r="EC37" i="1"/>
  <c r="EB37" i="1"/>
  <c r="EA37" i="1"/>
  <c r="DZ37" i="1"/>
  <c r="DY37" i="1"/>
  <c r="DX37" i="1"/>
  <c r="DW37" i="1"/>
  <c r="DV37" i="1"/>
  <c r="DU37" i="1"/>
  <c r="DT37" i="1"/>
  <c r="DS37" i="1"/>
  <c r="DR37" i="1"/>
  <c r="DQ37" i="1"/>
  <c r="DP37" i="1"/>
  <c r="DO37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DW36" i="1"/>
  <c r="DV36" i="1"/>
  <c r="DU36" i="1"/>
  <c r="DT36" i="1"/>
  <c r="DS36" i="1"/>
  <c r="DR36" i="1"/>
  <c r="DQ36" i="1"/>
  <c r="EL36" i="1" s="1"/>
  <c r="DP36" i="1"/>
  <c r="DO36" i="1"/>
  <c r="EK35" i="1"/>
  <c r="EJ35" i="1"/>
  <c r="EI35" i="1"/>
  <c r="EH35" i="1"/>
  <c r="EG35" i="1"/>
  <c r="EF35" i="1"/>
  <c r="EE35" i="1"/>
  <c r="ED35" i="1"/>
  <c r="EC35" i="1"/>
  <c r="EB35" i="1"/>
  <c r="EA35" i="1"/>
  <c r="DZ35" i="1"/>
  <c r="DY35" i="1"/>
  <c r="DX35" i="1"/>
  <c r="DW35" i="1"/>
  <c r="DV35" i="1"/>
  <c r="DU35" i="1"/>
  <c r="DT35" i="1"/>
  <c r="DS35" i="1"/>
  <c r="DR35" i="1"/>
  <c r="DQ35" i="1"/>
  <c r="DP35" i="1"/>
  <c r="DO35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EL34" i="1" s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EL33" i="1" s="1"/>
  <c r="EK32" i="1"/>
  <c r="EJ32" i="1"/>
  <c r="EI32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EL32" i="1" s="1"/>
  <c r="DP32" i="1"/>
  <c r="DO32" i="1"/>
  <c r="EK31" i="1"/>
  <c r="EJ31" i="1"/>
  <c r="EI31" i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EK30" i="1"/>
  <c r="EJ30" i="1"/>
  <c r="EI30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EL30" i="1" s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EL26" i="1" s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EL25" i="1" s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EL22" i="1" s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EL18" i="1" s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EL17" i="1" s="1"/>
  <c r="DQ17" i="1"/>
  <c r="DP17" i="1"/>
  <c r="DO17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EL14" i="1" s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EL10" i="1" s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EL9" i="1" s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T2" i="1" s="1"/>
  <c r="DS7" i="1"/>
  <c r="DR7" i="1"/>
  <c r="DQ7" i="1"/>
  <c r="DP7" i="1"/>
  <c r="DO7" i="1"/>
  <c r="EK6" i="1"/>
  <c r="EJ6" i="1"/>
  <c r="EI6" i="1"/>
  <c r="EH6" i="1"/>
  <c r="EG6" i="1"/>
  <c r="EF6" i="1"/>
  <c r="EE6" i="1"/>
  <c r="ED6" i="1"/>
  <c r="EC6" i="1"/>
  <c r="EB6" i="1"/>
  <c r="EB2" i="1" s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EL6" i="1" s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EK4" i="1"/>
  <c r="EK2" i="1" s="1"/>
  <c r="EJ4" i="1"/>
  <c r="EJ2" i="1" s="1"/>
  <c r="EI4" i="1"/>
  <c r="EH4" i="1"/>
  <c r="EG4" i="1"/>
  <c r="EG2" i="1" s="1"/>
  <c r="EF4" i="1"/>
  <c r="EE4" i="1"/>
  <c r="ED4" i="1"/>
  <c r="EC4" i="1"/>
  <c r="EC2" i="1" s="1"/>
  <c r="EB4" i="1"/>
  <c r="EA4" i="1"/>
  <c r="DZ4" i="1"/>
  <c r="DY4" i="1"/>
  <c r="DY2" i="1" s="1"/>
  <c r="DX4" i="1"/>
  <c r="DW4" i="1"/>
  <c r="DV4" i="1"/>
  <c r="DU4" i="1"/>
  <c r="DU2" i="1" s="1"/>
  <c r="DT4" i="1"/>
  <c r="DS4" i="1"/>
  <c r="DR4" i="1"/>
  <c r="DQ4" i="1"/>
  <c r="DQ2" i="1" s="1"/>
  <c r="DP4" i="1"/>
  <c r="DO4" i="1"/>
  <c r="DE50" i="1"/>
  <c r="DE49" i="1"/>
  <c r="DE48" i="1"/>
  <c r="DE47" i="1"/>
  <c r="DE46" i="1"/>
  <c r="DE45" i="1"/>
  <c r="DE44" i="1"/>
  <c r="DE43" i="1"/>
  <c r="DE42" i="1"/>
  <c r="DE41" i="1"/>
  <c r="DE40" i="1"/>
  <c r="DE39" i="1"/>
  <c r="DE38" i="1"/>
  <c r="DE37" i="1"/>
  <c r="DE36" i="1"/>
  <c r="DE35" i="1"/>
  <c r="DE34" i="1"/>
  <c r="DE33" i="1"/>
  <c r="DE32" i="1"/>
  <c r="DE31" i="1"/>
  <c r="DE30" i="1"/>
  <c r="DE29" i="1"/>
  <c r="DE28" i="1"/>
  <c r="DE27" i="1"/>
  <c r="DE26" i="1"/>
  <c r="DE25" i="1"/>
  <c r="DE24" i="1"/>
  <c r="DE23" i="1"/>
  <c r="DE22" i="1"/>
  <c r="DE21" i="1"/>
  <c r="DE20" i="1"/>
  <c r="DE19" i="1"/>
  <c r="DE18" i="1"/>
  <c r="DE17" i="1"/>
  <c r="DE16" i="1"/>
  <c r="DE15" i="1"/>
  <c r="DE14" i="1"/>
  <c r="DE13" i="1"/>
  <c r="DE12" i="1"/>
  <c r="DE11" i="1"/>
  <c r="DE10" i="1"/>
  <c r="DE9" i="1"/>
  <c r="DE8" i="1"/>
  <c r="DE7" i="1"/>
  <c r="DE6" i="1"/>
  <c r="DE5" i="1"/>
  <c r="DE4" i="1"/>
  <c r="DD50" i="1"/>
  <c r="DD49" i="1"/>
  <c r="DD48" i="1"/>
  <c r="DD47" i="1"/>
  <c r="DD46" i="1"/>
  <c r="DD45" i="1"/>
  <c r="DD44" i="1"/>
  <c r="DD43" i="1"/>
  <c r="DD42" i="1"/>
  <c r="DD41" i="1"/>
  <c r="DD40" i="1"/>
  <c r="DD39" i="1"/>
  <c r="DD38" i="1"/>
  <c r="DD37" i="1"/>
  <c r="DD36" i="1"/>
  <c r="DD35" i="1"/>
  <c r="DD34" i="1"/>
  <c r="DD33" i="1"/>
  <c r="DD32" i="1"/>
  <c r="DD31" i="1"/>
  <c r="DD30" i="1"/>
  <c r="DD29" i="1"/>
  <c r="DD28" i="1"/>
  <c r="DD27" i="1"/>
  <c r="DD26" i="1"/>
  <c r="DD25" i="1"/>
  <c r="DD24" i="1"/>
  <c r="DD23" i="1"/>
  <c r="DD22" i="1"/>
  <c r="DD21" i="1"/>
  <c r="DD20" i="1"/>
  <c r="DD19" i="1"/>
  <c r="DD18" i="1"/>
  <c r="DD17" i="1"/>
  <c r="DD16" i="1"/>
  <c r="DD15" i="1"/>
  <c r="DD14" i="1"/>
  <c r="DD13" i="1"/>
  <c r="DD12" i="1"/>
  <c r="DD11" i="1"/>
  <c r="DD10" i="1"/>
  <c r="DD9" i="1"/>
  <c r="DD8" i="1"/>
  <c r="DD7" i="1"/>
  <c r="DD6" i="1"/>
  <c r="DD5" i="1"/>
  <c r="DD4" i="1"/>
  <c r="CL50" i="1"/>
  <c r="CL49" i="1"/>
  <c r="CL48" i="1"/>
  <c r="CL47" i="1"/>
  <c r="CL46" i="1"/>
  <c r="CL45" i="1"/>
  <c r="CL44" i="1"/>
  <c r="CL43" i="1"/>
  <c r="CL42" i="1"/>
  <c r="CL41" i="1"/>
  <c r="CL40" i="1"/>
  <c r="CL39" i="1"/>
  <c r="CL38" i="1"/>
  <c r="CL37" i="1"/>
  <c r="CL36" i="1"/>
  <c r="CL35" i="1"/>
  <c r="CL34" i="1"/>
  <c r="CL33" i="1"/>
  <c r="CL32" i="1"/>
  <c r="CL31" i="1"/>
  <c r="CL30" i="1"/>
  <c r="CL29" i="1"/>
  <c r="CL28" i="1"/>
  <c r="CL27" i="1"/>
  <c r="CL26" i="1"/>
  <c r="CL25" i="1"/>
  <c r="CL24" i="1"/>
  <c r="CL23" i="1"/>
  <c r="CL22" i="1"/>
  <c r="CL21" i="1"/>
  <c r="CL20" i="1"/>
  <c r="CL19" i="1"/>
  <c r="CL18" i="1"/>
  <c r="CL17" i="1"/>
  <c r="CL16" i="1"/>
  <c r="CL15" i="1"/>
  <c r="CL14" i="1"/>
  <c r="CL13" i="1"/>
  <c r="CL12" i="1"/>
  <c r="CL11" i="1"/>
  <c r="CL10" i="1"/>
  <c r="CL9" i="1"/>
  <c r="CL8" i="1"/>
  <c r="CL7" i="1"/>
  <c r="CL6" i="1"/>
  <c r="CL5" i="1"/>
  <c r="CL4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DR2" i="1" l="1"/>
  <c r="DZ2" i="1"/>
  <c r="EH2" i="1"/>
  <c r="EL5" i="1"/>
  <c r="DO2" i="1"/>
  <c r="DW2" i="1"/>
  <c r="EA2" i="1"/>
  <c r="EE2" i="1"/>
  <c r="EI2" i="1"/>
  <c r="EL13" i="1"/>
  <c r="EL21" i="1"/>
  <c r="EL29" i="1"/>
  <c r="EL37" i="1"/>
  <c r="EL45" i="1"/>
  <c r="DV2" i="1"/>
  <c r="ED2" i="1"/>
  <c r="DS2" i="1"/>
  <c r="DP2" i="1"/>
  <c r="EL4" i="1"/>
  <c r="DX2" i="1"/>
  <c r="EF2" i="1"/>
  <c r="EL7" i="1"/>
  <c r="EL8" i="1"/>
  <c r="EL11" i="1"/>
  <c r="EL12" i="1"/>
  <c r="EL15" i="1"/>
  <c r="EL16" i="1"/>
  <c r="EL19" i="1"/>
  <c r="EL20" i="1"/>
  <c r="EL23" i="1"/>
  <c r="EL24" i="1"/>
  <c r="EL27" i="1"/>
  <c r="EL28" i="1"/>
  <c r="EL31" i="1"/>
  <c r="EL35" i="1"/>
  <c r="EL39" i="1"/>
  <c r="EL43" i="1"/>
  <c r="EL47" i="1"/>
  <c r="EL2" i="1"/>
  <c r="B4" i="11"/>
  <c r="CL2" i="1"/>
  <c r="G5" i="11"/>
  <c r="H5" i="11" s="1"/>
  <c r="E5" i="11"/>
  <c r="G4" i="11"/>
  <c r="B28" i="10"/>
  <c r="B27" i="10"/>
  <c r="E28" i="10"/>
  <c r="E27" i="10"/>
  <c r="C27" i="10"/>
  <c r="C28" i="10"/>
  <c r="DE2" i="1" l="1"/>
  <c r="F5" i="11"/>
  <c r="E46" i="4"/>
  <c r="E42" i="4"/>
  <c r="E38" i="4"/>
  <c r="E34" i="4"/>
  <c r="E30" i="4"/>
  <c r="E26" i="4"/>
  <c r="E22" i="4"/>
  <c r="E18" i="4"/>
  <c r="E14" i="4"/>
  <c r="E10" i="4"/>
  <c r="E6" i="4"/>
  <c r="G50" i="4"/>
  <c r="G46" i="4"/>
  <c r="G42" i="4"/>
  <c r="G38" i="4"/>
  <c r="G34" i="4"/>
  <c r="G30" i="4"/>
  <c r="G26" i="4"/>
  <c r="G22" i="4"/>
  <c r="G18" i="4"/>
  <c r="G14" i="4"/>
  <c r="G10" i="4"/>
  <c r="G6" i="4"/>
  <c r="D49" i="4"/>
  <c r="E49" i="4" s="1"/>
  <c r="D48" i="4"/>
  <c r="E48" i="4" s="1"/>
  <c r="D47" i="4"/>
  <c r="E47" i="4" s="1"/>
  <c r="D46" i="4"/>
  <c r="D45" i="4"/>
  <c r="E45" i="4" s="1"/>
  <c r="D44" i="4"/>
  <c r="E44" i="4" s="1"/>
  <c r="D43" i="4"/>
  <c r="E43" i="4" s="1"/>
  <c r="D42" i="4"/>
  <c r="D41" i="4"/>
  <c r="E41" i="4" s="1"/>
  <c r="D40" i="4"/>
  <c r="E40" i="4" s="1"/>
  <c r="D39" i="4"/>
  <c r="E39" i="4" s="1"/>
  <c r="D38" i="4"/>
  <c r="D37" i="4"/>
  <c r="E37" i="4" s="1"/>
  <c r="D36" i="4"/>
  <c r="E36" i="4" s="1"/>
  <c r="D35" i="4"/>
  <c r="E35" i="4" s="1"/>
  <c r="D34" i="4"/>
  <c r="D33" i="4"/>
  <c r="E33" i="4" s="1"/>
  <c r="D32" i="4"/>
  <c r="E32" i="4" s="1"/>
  <c r="D31" i="4"/>
  <c r="E31" i="4" s="1"/>
  <c r="D30" i="4"/>
  <c r="D29" i="4"/>
  <c r="E29" i="4" s="1"/>
  <c r="D28" i="4"/>
  <c r="E28" i="4" s="1"/>
  <c r="D27" i="4"/>
  <c r="E27" i="4" s="1"/>
  <c r="D26" i="4"/>
  <c r="D25" i="4"/>
  <c r="E25" i="4" s="1"/>
  <c r="D24" i="4"/>
  <c r="E24" i="4" s="1"/>
  <c r="D23" i="4"/>
  <c r="E23" i="4" s="1"/>
  <c r="D22" i="4"/>
  <c r="D21" i="4"/>
  <c r="E21" i="4" s="1"/>
  <c r="D20" i="4"/>
  <c r="E20" i="4" s="1"/>
  <c r="D19" i="4"/>
  <c r="E19" i="4" s="1"/>
  <c r="D18" i="4"/>
  <c r="D17" i="4"/>
  <c r="E17" i="4" s="1"/>
  <c r="D16" i="4"/>
  <c r="E16" i="4" s="1"/>
  <c r="D15" i="4"/>
  <c r="E15" i="4" s="1"/>
  <c r="D14" i="4"/>
  <c r="D13" i="4"/>
  <c r="E13" i="4" s="1"/>
  <c r="D12" i="4"/>
  <c r="E12" i="4" s="1"/>
  <c r="D11" i="4"/>
  <c r="E11" i="4" s="1"/>
  <c r="D10" i="4"/>
  <c r="D9" i="4"/>
  <c r="E9" i="4" s="1"/>
  <c r="D8" i="4"/>
  <c r="E8" i="4" s="1"/>
  <c r="D7" i="4"/>
  <c r="E7" i="4" s="1"/>
  <c r="D6" i="4"/>
  <c r="D5" i="4"/>
  <c r="E5" i="4" s="1"/>
  <c r="D4" i="4"/>
  <c r="E4" i="4" s="1"/>
  <c r="D50" i="4"/>
  <c r="E50" i="4" s="1"/>
  <c r="CU4" i="1"/>
  <c r="CU50" i="1"/>
  <c r="CU32" i="1"/>
  <c r="CU36" i="1"/>
  <c r="CU17" i="1"/>
  <c r="CU37" i="1"/>
  <c r="CU28" i="1"/>
  <c r="CU41" i="1"/>
  <c r="CU43" i="1"/>
  <c r="CU42" i="1"/>
  <c r="CU34" i="1"/>
  <c r="CU30" i="1"/>
  <c r="CU33" i="1"/>
  <c r="CU31" i="1"/>
  <c r="CU49" i="1"/>
  <c r="CU35" i="1"/>
  <c r="CU16" i="1"/>
  <c r="CU21" i="1"/>
  <c r="CU45" i="1"/>
  <c r="CU26" i="1"/>
  <c r="CU22" i="1"/>
  <c r="CU40" i="1"/>
  <c r="CU23" i="1"/>
  <c r="CU25" i="1"/>
  <c r="CU27" i="1"/>
  <c r="CU38" i="1"/>
  <c r="CU19" i="1"/>
  <c r="CU15" i="1"/>
  <c r="CU29" i="1"/>
  <c r="CU44" i="1"/>
  <c r="CU11" i="1"/>
  <c r="CU39" i="1"/>
  <c r="CU48" i="1"/>
  <c r="CU5" i="1"/>
  <c r="CU12" i="1"/>
  <c r="CU46" i="1"/>
  <c r="CU18" i="1"/>
  <c r="CU10" i="1"/>
  <c r="CU24" i="1"/>
  <c r="CU47" i="1"/>
  <c r="CU20" i="1"/>
  <c r="CU14" i="1"/>
  <c r="CU9" i="1"/>
  <c r="CU13" i="1"/>
  <c r="CU8" i="1"/>
  <c r="CU6" i="1"/>
  <c r="CU7" i="1"/>
  <c r="DJ50" i="1"/>
  <c r="DK50" i="1" l="1"/>
  <c r="DL50" i="1" s="1"/>
  <c r="E2" i="4"/>
  <c r="D2" i="4"/>
  <c r="G7" i="4"/>
  <c r="G11" i="4"/>
  <c r="G15" i="4"/>
  <c r="G19" i="4"/>
  <c r="G23" i="4"/>
  <c r="G27" i="4"/>
  <c r="G31" i="4"/>
  <c r="G35" i="4"/>
  <c r="G39" i="4"/>
  <c r="G43" i="4"/>
  <c r="G47" i="4"/>
  <c r="G4" i="4"/>
  <c r="G8" i="4"/>
  <c r="G12" i="4"/>
  <c r="G16" i="4"/>
  <c r="G20" i="4"/>
  <c r="G24" i="4"/>
  <c r="G28" i="4"/>
  <c r="G32" i="4"/>
  <c r="G36" i="4"/>
  <c r="G40" i="4"/>
  <c r="G44" i="4"/>
  <c r="G48" i="4"/>
  <c r="G5" i="4"/>
  <c r="G9" i="4"/>
  <c r="G13" i="4"/>
  <c r="G17" i="4"/>
  <c r="G21" i="4"/>
  <c r="G25" i="4"/>
  <c r="G29" i="4"/>
  <c r="G33" i="4"/>
  <c r="G37" i="4"/>
  <c r="G41" i="4"/>
  <c r="G45" i="4"/>
  <c r="G49" i="4"/>
  <c r="H4" i="4" l="1"/>
  <c r="BB7" i="1" l="1"/>
  <c r="BA2" i="1" l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BB50" i="1"/>
  <c r="BC50" i="1" s="1"/>
  <c r="BB48" i="1"/>
  <c r="BE48" i="1" s="1"/>
  <c r="BB47" i="1"/>
  <c r="BE47" i="1" s="1"/>
  <c r="BB46" i="1"/>
  <c r="BE46" i="1" s="1"/>
  <c r="BB45" i="1"/>
  <c r="BC45" i="1" s="1"/>
  <c r="BB44" i="1"/>
  <c r="BE44" i="1" s="1"/>
  <c r="BB43" i="1"/>
  <c r="BE43" i="1" s="1"/>
  <c r="BB42" i="1"/>
  <c r="BE42" i="1" s="1"/>
  <c r="BB41" i="1"/>
  <c r="BC41" i="1" s="1"/>
  <c r="BB40" i="1"/>
  <c r="BE40" i="1" s="1"/>
  <c r="BB39" i="1"/>
  <c r="BE39" i="1" s="1"/>
  <c r="BB38" i="1"/>
  <c r="BE38" i="1" s="1"/>
  <c r="BB37" i="1"/>
  <c r="BC37" i="1" s="1"/>
  <c r="BB36" i="1"/>
  <c r="BE36" i="1" s="1"/>
  <c r="BB35" i="1"/>
  <c r="BE35" i="1" s="1"/>
  <c r="BB34" i="1"/>
  <c r="BE34" i="1" s="1"/>
  <c r="BB33" i="1"/>
  <c r="BC33" i="1" s="1"/>
  <c r="BB32" i="1"/>
  <c r="BE32" i="1" s="1"/>
  <c r="BB31" i="1"/>
  <c r="BE31" i="1" s="1"/>
  <c r="BB30" i="1"/>
  <c r="BE30" i="1" s="1"/>
  <c r="BB29" i="1"/>
  <c r="BC29" i="1" s="1"/>
  <c r="BB28" i="1"/>
  <c r="BE28" i="1" s="1"/>
  <c r="BB27" i="1"/>
  <c r="BE27" i="1" s="1"/>
  <c r="BB26" i="1"/>
  <c r="BE26" i="1" s="1"/>
  <c r="BB25" i="1"/>
  <c r="BC25" i="1" s="1"/>
  <c r="BB24" i="1"/>
  <c r="BE24" i="1" s="1"/>
  <c r="BB23" i="1"/>
  <c r="BE23" i="1" s="1"/>
  <c r="BB22" i="1"/>
  <c r="BE22" i="1" s="1"/>
  <c r="BB21" i="1"/>
  <c r="BC21" i="1" s="1"/>
  <c r="BB20" i="1"/>
  <c r="BE20" i="1" s="1"/>
  <c r="BB19" i="1"/>
  <c r="BE19" i="1" s="1"/>
  <c r="BB18" i="1"/>
  <c r="BE18" i="1" s="1"/>
  <c r="BB17" i="1"/>
  <c r="BC17" i="1" s="1"/>
  <c r="BB16" i="1"/>
  <c r="BE16" i="1" s="1"/>
  <c r="BB15" i="1"/>
  <c r="BE15" i="1" s="1"/>
  <c r="BB14" i="1"/>
  <c r="BE14" i="1" s="1"/>
  <c r="BB13" i="1"/>
  <c r="BC13" i="1" s="1"/>
  <c r="BB12" i="1"/>
  <c r="BC12" i="1" s="1"/>
  <c r="BB11" i="1"/>
  <c r="BC11" i="1" s="1"/>
  <c r="BB10" i="1"/>
  <c r="BC10" i="1" s="1"/>
  <c r="BB9" i="1"/>
  <c r="BC9" i="1" s="1"/>
  <c r="BB8" i="1"/>
  <c r="BC8" i="1" s="1"/>
  <c r="BC7" i="1"/>
  <c r="BB6" i="1"/>
  <c r="BC6" i="1" s="1"/>
  <c r="BB5" i="1"/>
  <c r="BC5" i="1" s="1"/>
  <c r="BB4" i="1"/>
  <c r="BC4" i="1" s="1"/>
  <c r="BB49" i="1"/>
  <c r="BE49" i="1" s="1"/>
  <c r="B3" i="11" l="1"/>
  <c r="DD2" i="1"/>
  <c r="D3" i="11"/>
  <c r="CU2" i="1"/>
  <c r="BE50" i="1"/>
  <c r="BD50" i="1"/>
  <c r="BB2" i="1"/>
  <c r="BE2" i="1" s="1"/>
  <c r="BC2" i="1"/>
  <c r="BD9" i="1"/>
  <c r="BE5" i="1"/>
  <c r="BE9" i="1"/>
  <c r="BD5" i="1"/>
  <c r="BE11" i="1"/>
  <c r="BE7" i="1"/>
  <c r="BD11" i="1"/>
  <c r="BD7" i="1"/>
  <c r="BE12" i="1"/>
  <c r="BE10" i="1"/>
  <c r="BE8" i="1"/>
  <c r="BE6" i="1"/>
  <c r="BE4" i="1"/>
  <c r="BD12" i="1"/>
  <c r="BD10" i="1"/>
  <c r="BD8" i="1"/>
  <c r="BD6" i="1"/>
  <c r="BD4" i="1"/>
  <c r="BC49" i="1"/>
  <c r="BD49" i="1"/>
  <c r="BC15" i="1"/>
  <c r="BC19" i="1"/>
  <c r="BC23" i="1"/>
  <c r="BC27" i="1"/>
  <c r="BC31" i="1"/>
  <c r="BC35" i="1"/>
  <c r="BC39" i="1"/>
  <c r="BC43" i="1"/>
  <c r="BC47" i="1"/>
  <c r="BD13" i="1"/>
  <c r="BD15" i="1"/>
  <c r="BD17" i="1"/>
  <c r="BD19" i="1"/>
  <c r="BD21" i="1"/>
  <c r="BD23" i="1"/>
  <c r="BD25" i="1"/>
  <c r="BD27" i="1"/>
  <c r="BD29" i="1"/>
  <c r="BD31" i="1"/>
  <c r="BD33" i="1"/>
  <c r="BD35" i="1"/>
  <c r="BD37" i="1"/>
  <c r="BD39" i="1"/>
  <c r="BD41" i="1"/>
  <c r="BD43" i="1"/>
  <c r="BD45" i="1"/>
  <c r="BD47" i="1"/>
  <c r="BC16" i="1"/>
  <c r="BC20" i="1"/>
  <c r="BC24" i="1"/>
  <c r="BC28" i="1"/>
  <c r="BC32" i="1"/>
  <c r="BC36" i="1"/>
  <c r="BC40" i="1"/>
  <c r="BC44" i="1"/>
  <c r="BC48" i="1"/>
  <c r="BE13" i="1"/>
  <c r="BE17" i="1"/>
  <c r="BE21" i="1"/>
  <c r="BE25" i="1"/>
  <c r="BE29" i="1"/>
  <c r="BE33" i="1"/>
  <c r="BE37" i="1"/>
  <c r="BE41" i="1"/>
  <c r="BE45" i="1"/>
  <c r="BD14" i="1"/>
  <c r="BD16" i="1"/>
  <c r="BD18" i="1"/>
  <c r="BD20" i="1"/>
  <c r="BD22" i="1"/>
  <c r="BD24" i="1"/>
  <c r="BD26" i="1"/>
  <c r="BD28" i="1"/>
  <c r="BD30" i="1"/>
  <c r="BD32" i="1"/>
  <c r="BD34" i="1"/>
  <c r="BD36" i="1"/>
  <c r="BD38" i="1"/>
  <c r="BD40" i="1"/>
  <c r="BD42" i="1"/>
  <c r="BD44" i="1"/>
  <c r="BD46" i="1"/>
  <c r="BD48" i="1"/>
  <c r="BC14" i="1"/>
  <c r="BC18" i="1"/>
  <c r="BC22" i="1"/>
  <c r="BC26" i="1"/>
  <c r="BC30" i="1"/>
  <c r="BC34" i="1"/>
  <c r="BC38" i="1"/>
  <c r="BC42" i="1"/>
  <c r="BC46" i="1"/>
  <c r="BD2" i="1" l="1"/>
  <c r="H48" i="4"/>
  <c r="H47" i="4"/>
  <c r="H43" i="4"/>
  <c r="H38" i="4"/>
  <c r="H33" i="4"/>
  <c r="H30" i="4"/>
  <c r="H25" i="4"/>
  <c r="H20" i="4"/>
  <c r="H19" i="4"/>
  <c r="H17" i="4"/>
  <c r="H15" i="4"/>
  <c r="H14" i="4"/>
  <c r="H12" i="4"/>
  <c r="H11" i="4"/>
  <c r="H10" i="4"/>
  <c r="H21" i="4"/>
  <c r="H50" i="4"/>
  <c r="H37" i="4"/>
  <c r="H32" i="4"/>
  <c r="H22" i="4"/>
  <c r="H28" i="4"/>
  <c r="H5" i="4"/>
  <c r="H31" i="4"/>
  <c r="H36" i="4"/>
  <c r="H40" i="4"/>
  <c r="H46" i="4"/>
  <c r="H42" i="4"/>
  <c r="H18" i="4"/>
  <c r="H27" i="4"/>
  <c r="H35" i="4"/>
  <c r="H45" i="4"/>
  <c r="H23" i="4"/>
  <c r="H29" i="4"/>
  <c r="H34" i="4"/>
  <c r="H44" i="4"/>
  <c r="H13" i="4"/>
  <c r="H49" i="4"/>
  <c r="H41" i="4"/>
  <c r="H16" i="4"/>
  <c r="H26" i="4"/>
  <c r="H24" i="4"/>
  <c r="H39" i="4"/>
  <c r="H9" i="4"/>
  <c r="H7" i="4"/>
  <c r="H6" i="4"/>
  <c r="H8" i="4"/>
  <c r="F2" i="4"/>
  <c r="B2" i="4"/>
  <c r="Z13" i="1"/>
  <c r="AB13" i="1" l="1"/>
  <c r="AC13" i="1"/>
  <c r="CJ30" i="1"/>
  <c r="CJ12" i="1"/>
  <c r="CJ43" i="1"/>
  <c r="CJ15" i="1"/>
  <c r="CJ11" i="1"/>
  <c r="CJ17" i="1"/>
  <c r="CJ20" i="1"/>
  <c r="CJ14" i="1"/>
  <c r="CJ25" i="1"/>
  <c r="CJ19" i="1"/>
  <c r="CJ38" i="1"/>
  <c r="CJ4" i="1"/>
  <c r="CJ21" i="1"/>
  <c r="CJ50" i="1"/>
  <c r="CJ33" i="1"/>
  <c r="CJ32" i="1"/>
  <c r="CJ37" i="1"/>
  <c r="CJ47" i="1"/>
  <c r="CJ10" i="1"/>
  <c r="CJ36" i="1"/>
  <c r="CJ46" i="1"/>
  <c r="CJ5" i="1"/>
  <c r="CJ31" i="1"/>
  <c r="CJ27" i="1"/>
  <c r="CJ48" i="1"/>
  <c r="CJ45" i="1"/>
  <c r="CJ18" i="1"/>
  <c r="CJ42" i="1"/>
  <c r="CJ35" i="1"/>
  <c r="CJ23" i="1"/>
  <c r="CJ29" i="1"/>
  <c r="CJ40" i="1"/>
  <c r="CJ22" i="1"/>
  <c r="CJ28" i="1"/>
  <c r="CJ34" i="1"/>
  <c r="CJ44" i="1"/>
  <c r="CJ41" i="1"/>
  <c r="CJ49" i="1"/>
  <c r="CJ16" i="1"/>
  <c r="CJ13" i="1"/>
  <c r="CJ39" i="1"/>
  <c r="CJ26" i="1"/>
  <c r="CJ24" i="1"/>
  <c r="CJ9" i="1"/>
  <c r="CJ6" i="1"/>
  <c r="CJ8" i="1"/>
  <c r="CJ7" i="1"/>
  <c r="DH8" i="1" l="1"/>
  <c r="CO8" i="1"/>
  <c r="CO49" i="1"/>
  <c r="CP49" i="1" s="1"/>
  <c r="DH49" i="1"/>
  <c r="DI49" i="1" s="1"/>
  <c r="CO23" i="1"/>
  <c r="DH23" i="1"/>
  <c r="CO5" i="1"/>
  <c r="CP5" i="1" s="1"/>
  <c r="DH5" i="1"/>
  <c r="DI5" i="1" s="1"/>
  <c r="DH50" i="1"/>
  <c r="CO50" i="1"/>
  <c r="CO17" i="1"/>
  <c r="CP17" i="1" s="1"/>
  <c r="DH17" i="1"/>
  <c r="DI17" i="1" s="1"/>
  <c r="DH6" i="1"/>
  <c r="CO6" i="1"/>
  <c r="CO39" i="1"/>
  <c r="DH39" i="1"/>
  <c r="DI39" i="1" s="1"/>
  <c r="DH22" i="1"/>
  <c r="CO22" i="1"/>
  <c r="DH48" i="1"/>
  <c r="CO48" i="1"/>
  <c r="CP48" i="1" s="1"/>
  <c r="CO37" i="1"/>
  <c r="DH37" i="1"/>
  <c r="CO25" i="1"/>
  <c r="CP25" i="1" s="1"/>
  <c r="DH25" i="1"/>
  <c r="DH30" i="1"/>
  <c r="CO30" i="1"/>
  <c r="CO9" i="1"/>
  <c r="CP9" i="1" s="1"/>
  <c r="DH9" i="1"/>
  <c r="DI9" i="1" s="1"/>
  <c r="CO13" i="1"/>
  <c r="DH13" i="1"/>
  <c r="CO44" i="1"/>
  <c r="CP44" i="1" s="1"/>
  <c r="DH44" i="1"/>
  <c r="DI44" i="1" s="1"/>
  <c r="DH40" i="1"/>
  <c r="CO40" i="1"/>
  <c r="DH42" i="1"/>
  <c r="CO42" i="1"/>
  <c r="DH27" i="1"/>
  <c r="CO27" i="1"/>
  <c r="CO36" i="1"/>
  <c r="CP36" i="1" s="1"/>
  <c r="DH36" i="1"/>
  <c r="DI36" i="1" s="1"/>
  <c r="CO32" i="1"/>
  <c r="DH32" i="1"/>
  <c r="CO4" i="1"/>
  <c r="CP4" i="1" s="1"/>
  <c r="DH4" i="1"/>
  <c r="DI4" i="1" s="1"/>
  <c r="DH14" i="1"/>
  <c r="CO14" i="1"/>
  <c r="CO15" i="1"/>
  <c r="DH15" i="1"/>
  <c r="DI15" i="1" s="1"/>
  <c r="DH26" i="1"/>
  <c r="CO26" i="1"/>
  <c r="CO28" i="1"/>
  <c r="CP28" i="1" s="1"/>
  <c r="DH28" i="1"/>
  <c r="DI28" i="1" s="1"/>
  <c r="CO45" i="1"/>
  <c r="DH45" i="1"/>
  <c r="CO47" i="1"/>
  <c r="DH47" i="1"/>
  <c r="DI47" i="1" s="1"/>
  <c r="DH19" i="1"/>
  <c r="CO19" i="1"/>
  <c r="CO12" i="1"/>
  <c r="CP12" i="1" s="1"/>
  <c r="DH12" i="1"/>
  <c r="DI12" i="1" s="1"/>
  <c r="CO41" i="1"/>
  <c r="DH41" i="1"/>
  <c r="DH35" i="1"/>
  <c r="CO35" i="1"/>
  <c r="CP35" i="1" s="1"/>
  <c r="DH46" i="1"/>
  <c r="CO46" i="1"/>
  <c r="CO21" i="1"/>
  <c r="CP21" i="1" s="1"/>
  <c r="DH21" i="1"/>
  <c r="DI21" i="1" s="1"/>
  <c r="CO11" i="1"/>
  <c r="DH11" i="1"/>
  <c r="CO7" i="1"/>
  <c r="DH7" i="1"/>
  <c r="DI7" i="1" s="1"/>
  <c r="DH24" i="1"/>
  <c r="CO24" i="1"/>
  <c r="DH16" i="1"/>
  <c r="CO16" i="1"/>
  <c r="CP16" i="1" s="1"/>
  <c r="DH34" i="1"/>
  <c r="CO34" i="1"/>
  <c r="CO29" i="1"/>
  <c r="CP29" i="1" s="1"/>
  <c r="DH29" i="1"/>
  <c r="DI29" i="1" s="1"/>
  <c r="DH18" i="1"/>
  <c r="CO18" i="1"/>
  <c r="DH31" i="1"/>
  <c r="DI31" i="1" s="1"/>
  <c r="CO31" i="1"/>
  <c r="CP31" i="1" s="1"/>
  <c r="DH10" i="1"/>
  <c r="CO10" i="1"/>
  <c r="CO33" i="1"/>
  <c r="CP33" i="1" s="1"/>
  <c r="DH33" i="1"/>
  <c r="DI33" i="1" s="1"/>
  <c r="DH38" i="1"/>
  <c r="CO38" i="1"/>
  <c r="DH20" i="1"/>
  <c r="CO20" i="1"/>
  <c r="CP20" i="1" s="1"/>
  <c r="DH43" i="1"/>
  <c r="CO43" i="1"/>
  <c r="CX26" i="1"/>
  <c r="CY26" i="1" s="1"/>
  <c r="CX5" i="1"/>
  <c r="CY5" i="1" s="1"/>
  <c r="CX19" i="1"/>
  <c r="CX6" i="1"/>
  <c r="CY6" i="1" s="1"/>
  <c r="DI6" i="1"/>
  <c r="CX39" i="1"/>
  <c r="CX41" i="1"/>
  <c r="CY41" i="1" s="1"/>
  <c r="CX22" i="1"/>
  <c r="CY22" i="1" s="1"/>
  <c r="DI35" i="1"/>
  <c r="CX35" i="1"/>
  <c r="CY35" i="1" s="1"/>
  <c r="CX48" i="1"/>
  <c r="CX46" i="1"/>
  <c r="CY46" i="1" s="1"/>
  <c r="DI46" i="1"/>
  <c r="CX37" i="1"/>
  <c r="CX21" i="1"/>
  <c r="CY21" i="1" s="1"/>
  <c r="CX25" i="1"/>
  <c r="CY25" i="1" s="1"/>
  <c r="DI11" i="1"/>
  <c r="CX11" i="1"/>
  <c r="CY11" i="1" s="1"/>
  <c r="CX30" i="1"/>
  <c r="CY30" i="1" s="1"/>
  <c r="CX49" i="1"/>
  <c r="CY49" i="1" s="1"/>
  <c r="CX45" i="1"/>
  <c r="CX50" i="1"/>
  <c r="CY50" i="1" s="1"/>
  <c r="DI50" i="1"/>
  <c r="CX12" i="1"/>
  <c r="CX9" i="1"/>
  <c r="CY9" i="1" s="1"/>
  <c r="CX13" i="1"/>
  <c r="CY13" i="1" s="1"/>
  <c r="CX44" i="1"/>
  <c r="CY44" i="1" s="1"/>
  <c r="CX40" i="1"/>
  <c r="CX42" i="1"/>
  <c r="DI42" i="1"/>
  <c r="CX27" i="1"/>
  <c r="CX36" i="1"/>
  <c r="CX32" i="1"/>
  <c r="CX4" i="1"/>
  <c r="CX14" i="1"/>
  <c r="CX15" i="1"/>
  <c r="CX8" i="1"/>
  <c r="CX28" i="1"/>
  <c r="CY28" i="1" s="1"/>
  <c r="CX23" i="1"/>
  <c r="CX47" i="1"/>
  <c r="CY47" i="1" s="1"/>
  <c r="CX17" i="1"/>
  <c r="CY17" i="1" s="1"/>
  <c r="CJ2" i="1"/>
  <c r="CX7" i="1"/>
  <c r="CY7" i="1" s="1"/>
  <c r="DI24" i="1"/>
  <c r="CX24" i="1"/>
  <c r="CX16" i="1"/>
  <c r="CY16" i="1" s="1"/>
  <c r="DI16" i="1"/>
  <c r="DI34" i="1"/>
  <c r="CX34" i="1"/>
  <c r="CX29" i="1"/>
  <c r="CX18" i="1"/>
  <c r="CY18" i="1" s="1"/>
  <c r="CX31" i="1"/>
  <c r="CX10" i="1"/>
  <c r="CY10" i="1" s="1"/>
  <c r="CX33" i="1"/>
  <c r="CY33" i="1" s="1"/>
  <c r="CX38" i="1"/>
  <c r="CY38" i="1" s="1"/>
  <c r="CX20" i="1"/>
  <c r="CY20" i="1" s="1"/>
  <c r="DI20" i="1"/>
  <c r="CX43" i="1"/>
  <c r="CY43" i="1" s="1"/>
  <c r="DI8" i="1"/>
  <c r="CY8" i="1"/>
  <c r="DI26" i="1"/>
  <c r="CY23" i="1"/>
  <c r="DI23" i="1"/>
  <c r="DI45" i="1"/>
  <c r="CY45" i="1"/>
  <c r="DI19" i="1"/>
  <c r="CY19" i="1"/>
  <c r="CY12" i="1"/>
  <c r="CY39" i="1"/>
  <c r="DI41" i="1"/>
  <c r="DI22" i="1"/>
  <c r="DI48" i="1"/>
  <c r="CY48" i="1"/>
  <c r="CY37" i="1"/>
  <c r="DI37" i="1"/>
  <c r="DI25" i="1"/>
  <c r="DI30" i="1"/>
  <c r="DI13" i="1"/>
  <c r="CY40" i="1"/>
  <c r="DI40" i="1"/>
  <c r="CY42" i="1"/>
  <c r="DI27" i="1"/>
  <c r="CY27" i="1"/>
  <c r="CY36" i="1"/>
  <c r="CY32" i="1"/>
  <c r="DI32" i="1"/>
  <c r="DI14" i="1"/>
  <c r="CY14" i="1"/>
  <c r="CY15" i="1"/>
  <c r="CY24" i="1"/>
  <c r="CY34" i="1"/>
  <c r="CY29" i="1"/>
  <c r="DI18" i="1"/>
  <c r="CY31" i="1"/>
  <c r="DI10" i="1"/>
  <c r="DI38" i="1"/>
  <c r="DI43" i="1"/>
  <c r="CY4" i="1"/>
  <c r="Z2" i="1"/>
  <c r="CP50" i="1"/>
  <c r="CP47" i="1"/>
  <c r="CP46" i="1"/>
  <c r="CP45" i="1"/>
  <c r="CP43" i="1"/>
  <c r="CP42" i="1"/>
  <c r="CP41" i="1"/>
  <c r="CP40" i="1"/>
  <c r="CP39" i="1"/>
  <c r="CP38" i="1"/>
  <c r="CP37" i="1"/>
  <c r="CP34" i="1"/>
  <c r="CP32" i="1"/>
  <c r="CP30" i="1"/>
  <c r="CP27" i="1"/>
  <c r="CP26" i="1"/>
  <c r="CP24" i="1"/>
  <c r="CP23" i="1"/>
  <c r="CP22" i="1"/>
  <c r="CP19" i="1"/>
  <c r="CP18" i="1"/>
  <c r="CP15" i="1"/>
  <c r="CP14" i="1"/>
  <c r="CP13" i="1"/>
  <c r="CP11" i="1"/>
  <c r="CP10" i="1"/>
  <c r="CP8" i="1"/>
  <c r="CP7" i="1"/>
  <c r="CP6" i="1"/>
  <c r="CI50" i="1"/>
  <c r="CI49" i="1"/>
  <c r="CI48" i="1"/>
  <c r="CI47" i="1"/>
  <c r="CI46" i="1"/>
  <c r="CI45" i="1"/>
  <c r="CI44" i="1"/>
  <c r="CI43" i="1"/>
  <c r="CI42" i="1"/>
  <c r="CI41" i="1"/>
  <c r="CI40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CI5" i="1"/>
  <c r="CI4" i="1"/>
  <c r="CI2" i="1"/>
  <c r="CH2" i="1"/>
  <c r="CH49" i="1"/>
  <c r="CH48" i="1"/>
  <c r="CH47" i="1"/>
  <c r="CH46" i="1"/>
  <c r="CH45" i="1"/>
  <c r="CH44" i="1"/>
  <c r="CH43" i="1"/>
  <c r="CH42" i="1"/>
  <c r="CH41" i="1"/>
  <c r="CH40" i="1"/>
  <c r="CH39" i="1"/>
  <c r="CH38" i="1"/>
  <c r="CH37" i="1"/>
  <c r="CH36" i="1"/>
  <c r="CH35" i="1"/>
  <c r="CH34" i="1"/>
  <c r="CH33" i="1"/>
  <c r="DJ49" i="1" s="1"/>
  <c r="DK49" i="1" s="1"/>
  <c r="CH32" i="1"/>
  <c r="CH31" i="1"/>
  <c r="CH30" i="1"/>
  <c r="CH29" i="1"/>
  <c r="CH28" i="1"/>
  <c r="CH27" i="1"/>
  <c r="CH26" i="1"/>
  <c r="CH25" i="1"/>
  <c r="CH24" i="1"/>
  <c r="CH23" i="1"/>
  <c r="CH22" i="1"/>
  <c r="CH21" i="1"/>
  <c r="CH20" i="1"/>
  <c r="CH19" i="1"/>
  <c r="CH18" i="1"/>
  <c r="CH17" i="1"/>
  <c r="CH16" i="1"/>
  <c r="CH15" i="1"/>
  <c r="CH14" i="1"/>
  <c r="CH13" i="1"/>
  <c r="CH12" i="1"/>
  <c r="CH11" i="1"/>
  <c r="CH10" i="1"/>
  <c r="CH9" i="1"/>
  <c r="CH8" i="1"/>
  <c r="CH7" i="1"/>
  <c r="CH6" i="1"/>
  <c r="CH5" i="1"/>
  <c r="CH4" i="1"/>
  <c r="CH50" i="1"/>
  <c r="DJ36" i="1" s="1"/>
  <c r="DK36" i="1" s="1"/>
  <c r="CE2" i="1"/>
  <c r="CF2" i="1"/>
  <c r="CG50" i="1"/>
  <c r="CG49" i="1"/>
  <c r="CG48" i="1"/>
  <c r="CG47" i="1"/>
  <c r="CG46" i="1"/>
  <c r="CG45" i="1"/>
  <c r="CG44" i="1"/>
  <c r="CG43" i="1"/>
  <c r="CG42" i="1"/>
  <c r="CG41" i="1"/>
  <c r="CG40" i="1"/>
  <c r="CG39" i="1"/>
  <c r="CG38" i="1"/>
  <c r="CG37" i="1"/>
  <c r="CG36" i="1"/>
  <c r="CG35" i="1"/>
  <c r="CG34" i="1"/>
  <c r="CG33" i="1"/>
  <c r="CG32" i="1"/>
  <c r="CG31" i="1"/>
  <c r="CG30" i="1"/>
  <c r="CG29" i="1"/>
  <c r="CG28" i="1"/>
  <c r="CG27" i="1"/>
  <c r="CG26" i="1"/>
  <c r="CG25" i="1"/>
  <c r="CG24" i="1"/>
  <c r="CG23" i="1"/>
  <c r="CG22" i="1"/>
  <c r="CG21" i="1"/>
  <c r="CG20" i="1"/>
  <c r="CG19" i="1"/>
  <c r="CG18" i="1"/>
  <c r="CG17" i="1"/>
  <c r="CG16" i="1"/>
  <c r="CG15" i="1"/>
  <c r="CG14" i="1"/>
  <c r="CG13" i="1"/>
  <c r="CG12" i="1"/>
  <c r="CG11" i="1"/>
  <c r="CG10" i="1"/>
  <c r="CG9" i="1"/>
  <c r="CG8" i="1"/>
  <c r="CG7" i="1"/>
  <c r="CG6" i="1"/>
  <c r="CG5" i="1"/>
  <c r="CG4" i="1"/>
  <c r="CF50" i="1"/>
  <c r="CF49" i="1"/>
  <c r="CF48" i="1"/>
  <c r="CF47" i="1"/>
  <c r="CF46" i="1"/>
  <c r="CF45" i="1"/>
  <c r="CF44" i="1"/>
  <c r="CF43" i="1"/>
  <c r="CF42" i="1"/>
  <c r="CF41" i="1"/>
  <c r="CF40" i="1"/>
  <c r="CF39" i="1"/>
  <c r="CF38" i="1"/>
  <c r="CF37" i="1"/>
  <c r="CF36" i="1"/>
  <c r="CF35" i="1"/>
  <c r="CF34" i="1"/>
  <c r="CF33" i="1"/>
  <c r="CF32" i="1"/>
  <c r="CF31" i="1"/>
  <c r="CF30" i="1"/>
  <c r="CF29" i="1"/>
  <c r="CF28" i="1"/>
  <c r="CF27" i="1"/>
  <c r="CF26" i="1"/>
  <c r="CF25" i="1"/>
  <c r="CF24" i="1"/>
  <c r="CF23" i="1"/>
  <c r="CF22" i="1"/>
  <c r="CF21" i="1"/>
  <c r="CF20" i="1"/>
  <c r="CF19" i="1"/>
  <c r="CF18" i="1"/>
  <c r="CF17" i="1"/>
  <c r="CF16" i="1"/>
  <c r="CF15" i="1"/>
  <c r="CF14" i="1"/>
  <c r="CF13" i="1"/>
  <c r="CF12" i="1"/>
  <c r="CF11" i="1"/>
  <c r="CF10" i="1"/>
  <c r="CF9" i="1"/>
  <c r="CF8" i="1"/>
  <c r="CF7" i="1"/>
  <c r="CF6" i="1"/>
  <c r="CF5" i="1"/>
  <c r="CF4" i="1"/>
  <c r="CE50" i="1"/>
  <c r="CE49" i="1"/>
  <c r="CE48" i="1"/>
  <c r="CE47" i="1"/>
  <c r="CE46" i="1"/>
  <c r="CE45" i="1"/>
  <c r="CE44" i="1"/>
  <c r="CE43" i="1"/>
  <c r="CE42" i="1"/>
  <c r="CE41" i="1"/>
  <c r="CE40" i="1"/>
  <c r="CE39" i="1"/>
  <c r="CE38" i="1"/>
  <c r="CE37" i="1"/>
  <c r="CE36" i="1"/>
  <c r="CE35" i="1"/>
  <c r="CE34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CE5" i="1"/>
  <c r="CE4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2" i="1"/>
  <c r="Z11" i="1"/>
  <c r="Z10" i="1"/>
  <c r="Z9" i="1"/>
  <c r="Z8" i="1"/>
  <c r="Z7" i="1"/>
  <c r="Z6" i="1"/>
  <c r="Z5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Z4" i="1"/>
  <c r="AB6" i="1" l="1"/>
  <c r="AC6" i="1"/>
  <c r="AB10" i="1"/>
  <c r="AC10" i="1"/>
  <c r="AC19" i="1"/>
  <c r="AB19" i="1"/>
  <c r="AC27" i="1"/>
  <c r="AB27" i="1"/>
  <c r="AC35" i="1"/>
  <c r="AB35" i="1"/>
  <c r="AC43" i="1"/>
  <c r="AB43" i="1"/>
  <c r="AC47" i="1"/>
  <c r="AB47" i="1"/>
  <c r="DF10" i="1"/>
  <c r="CM10" i="1"/>
  <c r="CN10" i="1" s="1"/>
  <c r="DF18" i="1"/>
  <c r="CM18" i="1"/>
  <c r="DF26" i="1"/>
  <c r="CM26" i="1"/>
  <c r="CN26" i="1" s="1"/>
  <c r="CM30" i="1"/>
  <c r="DF30" i="1"/>
  <c r="CM38" i="1"/>
  <c r="DF38" i="1"/>
  <c r="DG38" i="1" s="1"/>
  <c r="DF46" i="1"/>
  <c r="CM46" i="1"/>
  <c r="AC7" i="1"/>
  <c r="AB7" i="1"/>
  <c r="AC11" i="1"/>
  <c r="AB11" i="1"/>
  <c r="AB16" i="1"/>
  <c r="AC16" i="1"/>
  <c r="AB24" i="1"/>
  <c r="AC24" i="1"/>
  <c r="AB28" i="1"/>
  <c r="AC28" i="1"/>
  <c r="AB32" i="1"/>
  <c r="AC32" i="1"/>
  <c r="AC36" i="1"/>
  <c r="AB36" i="1"/>
  <c r="AB40" i="1"/>
  <c r="AC40" i="1"/>
  <c r="AB44" i="1"/>
  <c r="AC44" i="1"/>
  <c r="AB48" i="1"/>
  <c r="AC48" i="1"/>
  <c r="DF7" i="1"/>
  <c r="CM7" i="1"/>
  <c r="CM11" i="1"/>
  <c r="DF11" i="1"/>
  <c r="CM15" i="1"/>
  <c r="DF15" i="1"/>
  <c r="DG15" i="1" s="1"/>
  <c r="DF19" i="1"/>
  <c r="CM19" i="1"/>
  <c r="DF23" i="1"/>
  <c r="CM23" i="1"/>
  <c r="CN23" i="1" s="1"/>
  <c r="CM27" i="1"/>
  <c r="DF27" i="1"/>
  <c r="DF31" i="1"/>
  <c r="CM31" i="1"/>
  <c r="DF35" i="1"/>
  <c r="CM35" i="1"/>
  <c r="DF39" i="1"/>
  <c r="CM39" i="1"/>
  <c r="CN39" i="1" s="1"/>
  <c r="CM43" i="1"/>
  <c r="DF43" i="1"/>
  <c r="CM47" i="1"/>
  <c r="DF47" i="1"/>
  <c r="DG47" i="1" s="1"/>
  <c r="AB8" i="1"/>
  <c r="AC8" i="1"/>
  <c r="AC12" i="1"/>
  <c r="AB12" i="1"/>
  <c r="AB17" i="1"/>
  <c r="AC17" i="1"/>
  <c r="AB21" i="1"/>
  <c r="AC21" i="1"/>
  <c r="AC25" i="1"/>
  <c r="AB25" i="1"/>
  <c r="AB29" i="1"/>
  <c r="AC29" i="1"/>
  <c r="AB33" i="1"/>
  <c r="AC33" i="1"/>
  <c r="AB37" i="1"/>
  <c r="AC37" i="1"/>
  <c r="AC41" i="1"/>
  <c r="AB41" i="1"/>
  <c r="AB45" i="1"/>
  <c r="AC45" i="1"/>
  <c r="AC49" i="1"/>
  <c r="AB49" i="1"/>
  <c r="DF4" i="1"/>
  <c r="CM4" i="1"/>
  <c r="CM8" i="1"/>
  <c r="DF8" i="1"/>
  <c r="DF12" i="1"/>
  <c r="CM12" i="1"/>
  <c r="CN12" i="1" s="1"/>
  <c r="CM16" i="1"/>
  <c r="DF16" i="1"/>
  <c r="CM20" i="1"/>
  <c r="DF20" i="1"/>
  <c r="DG20" i="1" s="1"/>
  <c r="CM24" i="1"/>
  <c r="DF24" i="1"/>
  <c r="CM28" i="1"/>
  <c r="DF28" i="1"/>
  <c r="DG28" i="1" s="1"/>
  <c r="CM32" i="1"/>
  <c r="DF32" i="1"/>
  <c r="CM36" i="1"/>
  <c r="DF36" i="1"/>
  <c r="DG36" i="1" s="1"/>
  <c r="CM40" i="1"/>
  <c r="DF40" i="1"/>
  <c r="CM44" i="1"/>
  <c r="DF44" i="1"/>
  <c r="DG44" i="1" s="1"/>
  <c r="CM48" i="1"/>
  <c r="DF48" i="1"/>
  <c r="AC15" i="1"/>
  <c r="AB15" i="1"/>
  <c r="AC23" i="1"/>
  <c r="AB23" i="1"/>
  <c r="AC31" i="1"/>
  <c r="AB31" i="1"/>
  <c r="AC39" i="1"/>
  <c r="AB39" i="1"/>
  <c r="DF6" i="1"/>
  <c r="CM6" i="1"/>
  <c r="DF14" i="1"/>
  <c r="CM14" i="1"/>
  <c r="CM22" i="1"/>
  <c r="DF22" i="1"/>
  <c r="DG22" i="1" s="1"/>
  <c r="DF34" i="1"/>
  <c r="CM34" i="1"/>
  <c r="DF42" i="1"/>
  <c r="CM42" i="1"/>
  <c r="DF50" i="1"/>
  <c r="CM50" i="1"/>
  <c r="AC20" i="1"/>
  <c r="AB20" i="1"/>
  <c r="AC4" i="1"/>
  <c r="AB4" i="1"/>
  <c r="AB5" i="1"/>
  <c r="AC5" i="1"/>
  <c r="AC9" i="1"/>
  <c r="AB9" i="1"/>
  <c r="AB14" i="1"/>
  <c r="AC14" i="1"/>
  <c r="AB18" i="1"/>
  <c r="AC18" i="1"/>
  <c r="AB22" i="1"/>
  <c r="AC22" i="1"/>
  <c r="AB26" i="1"/>
  <c r="AC26" i="1"/>
  <c r="AB30" i="1"/>
  <c r="AC30" i="1"/>
  <c r="AB34" i="1"/>
  <c r="AC34" i="1"/>
  <c r="AB38" i="1"/>
  <c r="AC38" i="1"/>
  <c r="AB42" i="1"/>
  <c r="AC42" i="1"/>
  <c r="AB46" i="1"/>
  <c r="AC46" i="1"/>
  <c r="AB50" i="1"/>
  <c r="AC50" i="1"/>
  <c r="DF5" i="1"/>
  <c r="CM5" i="1"/>
  <c r="CN5" i="1" s="1"/>
  <c r="DF9" i="1"/>
  <c r="CM9" i="1"/>
  <c r="DF13" i="1"/>
  <c r="CM13" i="1"/>
  <c r="CN13" i="1" s="1"/>
  <c r="DF17" i="1"/>
  <c r="CM17" i="1"/>
  <c r="DF21" i="1"/>
  <c r="CM21" i="1"/>
  <c r="CN21" i="1" s="1"/>
  <c r="DF25" i="1"/>
  <c r="CM25" i="1"/>
  <c r="DF29" i="1"/>
  <c r="CM29" i="1"/>
  <c r="CN29" i="1" s="1"/>
  <c r="DF33" i="1"/>
  <c r="CM33" i="1"/>
  <c r="DF37" i="1"/>
  <c r="CM37" i="1"/>
  <c r="CN37" i="1" s="1"/>
  <c r="DF41" i="1"/>
  <c r="CM41" i="1"/>
  <c r="DF45" i="1"/>
  <c r="CM45" i="1"/>
  <c r="CN45" i="1" s="1"/>
  <c r="DF49" i="1"/>
  <c r="CM49" i="1"/>
  <c r="CX2" i="1"/>
  <c r="CO2" i="1"/>
  <c r="DH2" i="1"/>
  <c r="AB2" i="1"/>
  <c r="AC2" i="1"/>
  <c r="DJ46" i="1"/>
  <c r="DK46" i="1" s="1"/>
  <c r="DL46" i="1" s="1"/>
  <c r="DJ8" i="1"/>
  <c r="DK8" i="1" s="1"/>
  <c r="DJ6" i="1"/>
  <c r="DK6" i="1" s="1"/>
  <c r="DJ28" i="1"/>
  <c r="DJ26" i="1"/>
  <c r="DK26" i="1" s="1"/>
  <c r="DL26" i="1" s="1"/>
  <c r="DJ38" i="1"/>
  <c r="DK38" i="1" s="1"/>
  <c r="DJ42" i="1"/>
  <c r="DJ22" i="1"/>
  <c r="DJ47" i="1"/>
  <c r="DK47" i="1" s="1"/>
  <c r="DJ24" i="1"/>
  <c r="DK24" i="1" s="1"/>
  <c r="DJ40" i="1"/>
  <c r="DK40" i="1" s="1"/>
  <c r="DJ30" i="1"/>
  <c r="DJ11" i="1"/>
  <c r="DK11" i="1" s="1"/>
  <c r="DL11" i="1" s="1"/>
  <c r="DJ41" i="1"/>
  <c r="DK41" i="1" s="1"/>
  <c r="DJ16" i="1"/>
  <c r="DK16" i="1" s="1"/>
  <c r="DJ4" i="1"/>
  <c r="DJ13" i="1"/>
  <c r="DK13" i="1" s="1"/>
  <c r="DL13" i="1" s="1"/>
  <c r="DJ23" i="1"/>
  <c r="DJ31" i="1"/>
  <c r="DJ33" i="1"/>
  <c r="DK33" i="1" s="1"/>
  <c r="DJ15" i="1"/>
  <c r="DK15" i="1" s="1"/>
  <c r="DL15" i="1" s="1"/>
  <c r="DJ10" i="1"/>
  <c r="DK10" i="1" s="1"/>
  <c r="CG2" i="1"/>
  <c r="DL38" i="1"/>
  <c r="DL41" i="1"/>
  <c r="CZ6" i="1"/>
  <c r="CZ10" i="1"/>
  <c r="CZ14" i="1"/>
  <c r="CZ18" i="1"/>
  <c r="CZ22" i="1"/>
  <c r="CZ26" i="1"/>
  <c r="CZ30" i="1"/>
  <c r="CZ34" i="1"/>
  <c r="CZ38" i="1"/>
  <c r="CZ42" i="1"/>
  <c r="CZ46" i="1"/>
  <c r="CZ50" i="1"/>
  <c r="CZ2" i="1"/>
  <c r="CQ2" i="1"/>
  <c r="CR2" i="1" s="1"/>
  <c r="DL47" i="1"/>
  <c r="DL24" i="1"/>
  <c r="DL40" i="1"/>
  <c r="DL33" i="1"/>
  <c r="DL10" i="1"/>
  <c r="D4" i="11"/>
  <c r="D5" i="11" s="1"/>
  <c r="G6" i="11" s="1"/>
  <c r="B5" i="11"/>
  <c r="E6" i="11" s="1"/>
  <c r="DL6" i="1"/>
  <c r="DL49" i="1"/>
  <c r="DL16" i="1"/>
  <c r="DL36" i="1"/>
  <c r="DJ2" i="1"/>
  <c r="DK2" i="1" s="1"/>
  <c r="DJ48" i="1"/>
  <c r="DK48" i="1" s="1"/>
  <c r="DJ44" i="1"/>
  <c r="DK44" i="1" s="1"/>
  <c r="DJ29" i="1"/>
  <c r="DK29" i="1" s="1"/>
  <c r="DJ27" i="1"/>
  <c r="DK27" i="1" s="1"/>
  <c r="DJ19" i="1"/>
  <c r="DK19" i="1" s="1"/>
  <c r="DJ35" i="1"/>
  <c r="DK35" i="1" s="1"/>
  <c r="DJ21" i="1"/>
  <c r="DK21" i="1" s="1"/>
  <c r="DJ5" i="1"/>
  <c r="DK5" i="1" s="1"/>
  <c r="DJ34" i="1"/>
  <c r="DK34" i="1" s="1"/>
  <c r="DJ14" i="1"/>
  <c r="DK14" i="1" s="1"/>
  <c r="DL8" i="1"/>
  <c r="DJ32" i="1"/>
  <c r="DK32" i="1" s="1"/>
  <c r="DJ7" i="1"/>
  <c r="DK7" i="1" s="1"/>
  <c r="DJ18" i="1"/>
  <c r="DK18" i="1" s="1"/>
  <c r="DJ45" i="1"/>
  <c r="DK45" i="1" s="1"/>
  <c r="DJ9" i="1"/>
  <c r="DK9" i="1" s="1"/>
  <c r="DJ20" i="1"/>
  <c r="DK20" i="1" s="1"/>
  <c r="DJ43" i="1"/>
  <c r="DK43" i="1" s="1"/>
  <c r="DJ17" i="1"/>
  <c r="DK17" i="1" s="1"/>
  <c r="DJ37" i="1"/>
  <c r="DK37" i="1" s="1"/>
  <c r="DJ25" i="1"/>
  <c r="DK25" i="1" s="1"/>
  <c r="DJ39" i="1"/>
  <c r="DK39" i="1" s="1"/>
  <c r="DJ12" i="1"/>
  <c r="DK12" i="1" s="1"/>
  <c r="CZ21" i="1"/>
  <c r="CZ25" i="1"/>
  <c r="CZ29" i="1"/>
  <c r="CZ33" i="1"/>
  <c r="CZ37" i="1"/>
  <c r="CZ41" i="1"/>
  <c r="CZ45" i="1"/>
  <c r="CZ49" i="1"/>
  <c r="DG7" i="1"/>
  <c r="CV7" i="1"/>
  <c r="CW7" i="1" s="1"/>
  <c r="CV11" i="1"/>
  <c r="CW11" i="1" s="1"/>
  <c r="DG11" i="1"/>
  <c r="CV15" i="1"/>
  <c r="CW15" i="1" s="1"/>
  <c r="DG19" i="1"/>
  <c r="CV19" i="1"/>
  <c r="DG23" i="1"/>
  <c r="CV23" i="1"/>
  <c r="CW23" i="1" s="1"/>
  <c r="CV27" i="1"/>
  <c r="CW27" i="1" s="1"/>
  <c r="DG27" i="1"/>
  <c r="DG31" i="1"/>
  <c r="CV31" i="1"/>
  <c r="CW31" i="1" s="1"/>
  <c r="CV35" i="1"/>
  <c r="CW35" i="1" s="1"/>
  <c r="DG35" i="1"/>
  <c r="DG39" i="1"/>
  <c r="CV39" i="1"/>
  <c r="CW39" i="1" s="1"/>
  <c r="DG43" i="1"/>
  <c r="CV43" i="1"/>
  <c r="CV47" i="1"/>
  <c r="CW47" i="1" s="1"/>
  <c r="DG4" i="1"/>
  <c r="CV4" i="1"/>
  <c r="DG8" i="1"/>
  <c r="CV8" i="1"/>
  <c r="CW8" i="1" s="1"/>
  <c r="DG12" i="1"/>
  <c r="CV12" i="1"/>
  <c r="DG16" i="1"/>
  <c r="CV16" i="1"/>
  <c r="CW16" i="1" s="1"/>
  <c r="CV20" i="1"/>
  <c r="DG24" i="1"/>
  <c r="CV24" i="1"/>
  <c r="CV28" i="1"/>
  <c r="DG32" i="1"/>
  <c r="CV32" i="1"/>
  <c r="CW32" i="1" s="1"/>
  <c r="CV36" i="1"/>
  <c r="DG40" i="1"/>
  <c r="CV40" i="1"/>
  <c r="CW40" i="1" s="1"/>
  <c r="CV44" i="1"/>
  <c r="DG48" i="1"/>
  <c r="CV48" i="1"/>
  <c r="CW48" i="1" s="1"/>
  <c r="DG5" i="1"/>
  <c r="CV5" i="1"/>
  <c r="DG9" i="1"/>
  <c r="CV9" i="1"/>
  <c r="CW9" i="1" s="1"/>
  <c r="DG13" i="1"/>
  <c r="CV13" i="1"/>
  <c r="DG17" i="1"/>
  <c r="CV17" i="1"/>
  <c r="CW17" i="1" s="1"/>
  <c r="DG21" i="1"/>
  <c r="CV21" i="1"/>
  <c r="DG25" i="1"/>
  <c r="CV25" i="1"/>
  <c r="CW25" i="1" s="1"/>
  <c r="DG29" i="1"/>
  <c r="CV29" i="1"/>
  <c r="DG33" i="1"/>
  <c r="CV33" i="1"/>
  <c r="CW33" i="1" s="1"/>
  <c r="DG37" i="1"/>
  <c r="CV37" i="1"/>
  <c r="DG41" i="1"/>
  <c r="CV41" i="1"/>
  <c r="CW41" i="1" s="1"/>
  <c r="DG45" i="1"/>
  <c r="CV45" i="1"/>
  <c r="DG49" i="1"/>
  <c r="CV49" i="1"/>
  <c r="DI2" i="1"/>
  <c r="DG6" i="1"/>
  <c r="CV6" i="1"/>
  <c r="DG10" i="1"/>
  <c r="CV10" i="1"/>
  <c r="CW10" i="1" s="1"/>
  <c r="DG14" i="1"/>
  <c r="CV14" i="1"/>
  <c r="CW14" i="1" s="1"/>
  <c r="DG18" i="1"/>
  <c r="CV18" i="1"/>
  <c r="CW18" i="1" s="1"/>
  <c r="CV22" i="1"/>
  <c r="DG26" i="1"/>
  <c r="CV26" i="1"/>
  <c r="CW26" i="1" s="1"/>
  <c r="DG30" i="1"/>
  <c r="CV30" i="1"/>
  <c r="DG34" i="1"/>
  <c r="CV34" i="1"/>
  <c r="CW34" i="1" s="1"/>
  <c r="CV38" i="1"/>
  <c r="DG42" i="1"/>
  <c r="CV42" i="1"/>
  <c r="CW42" i="1" s="1"/>
  <c r="DG46" i="1"/>
  <c r="CV46" i="1"/>
  <c r="DG50" i="1"/>
  <c r="CV50" i="1"/>
  <c r="CW50" i="1" s="1"/>
  <c r="CY2" i="1"/>
  <c r="CW4" i="1"/>
  <c r="CN4" i="1"/>
  <c r="CN16" i="1"/>
  <c r="CW28" i="1"/>
  <c r="CN28" i="1"/>
  <c r="CN40" i="1"/>
  <c r="CZ19" i="1"/>
  <c r="CZ31" i="1"/>
  <c r="CZ39" i="1"/>
  <c r="CW5" i="1"/>
  <c r="CW21" i="1"/>
  <c r="CW37" i="1"/>
  <c r="CW49" i="1"/>
  <c r="CN49" i="1"/>
  <c r="CW12" i="1"/>
  <c r="CW24" i="1"/>
  <c r="CN24" i="1"/>
  <c r="CN32" i="1"/>
  <c r="CW44" i="1"/>
  <c r="CN44" i="1"/>
  <c r="CZ11" i="1"/>
  <c r="CZ23" i="1"/>
  <c r="CZ35" i="1"/>
  <c r="CZ47" i="1"/>
  <c r="CW13" i="1"/>
  <c r="CN25" i="1"/>
  <c r="CN33" i="1"/>
  <c r="CW45" i="1"/>
  <c r="CZ4" i="1"/>
  <c r="CZ8" i="1"/>
  <c r="CZ12" i="1"/>
  <c r="CZ16" i="1"/>
  <c r="CZ20" i="1"/>
  <c r="CZ24" i="1"/>
  <c r="CZ28" i="1"/>
  <c r="CZ32" i="1"/>
  <c r="CZ36" i="1"/>
  <c r="CZ40" i="1"/>
  <c r="CZ44" i="1"/>
  <c r="CZ48" i="1"/>
  <c r="CW6" i="1"/>
  <c r="CN6" i="1"/>
  <c r="CN14" i="1"/>
  <c r="CN18" i="1"/>
  <c r="CW22" i="1"/>
  <c r="CN22" i="1"/>
  <c r="CW30" i="1"/>
  <c r="CN30" i="1"/>
  <c r="CN34" i="1"/>
  <c r="CW38" i="1"/>
  <c r="CN38" i="1"/>
  <c r="CN42" i="1"/>
  <c r="CW46" i="1"/>
  <c r="CN46" i="1"/>
  <c r="CN50" i="1"/>
  <c r="CN8" i="1"/>
  <c r="CW20" i="1"/>
  <c r="CN20" i="1"/>
  <c r="CW36" i="1"/>
  <c r="CN36" i="1"/>
  <c r="CN48" i="1"/>
  <c r="CZ7" i="1"/>
  <c r="CZ15" i="1"/>
  <c r="CZ27" i="1"/>
  <c r="CZ43" i="1"/>
  <c r="CN9" i="1"/>
  <c r="CN17" i="1"/>
  <c r="CW29" i="1"/>
  <c r="CN41" i="1"/>
  <c r="CZ5" i="1"/>
  <c r="CZ9" i="1"/>
  <c r="CZ13" i="1"/>
  <c r="CZ17" i="1"/>
  <c r="CN7" i="1"/>
  <c r="CN11" i="1"/>
  <c r="CN15" i="1"/>
  <c r="CW19" i="1"/>
  <c r="CN19" i="1"/>
  <c r="CN27" i="1"/>
  <c r="CN31" i="1"/>
  <c r="CN35" i="1"/>
  <c r="CW43" i="1"/>
  <c r="CN43" i="1"/>
  <c r="CN47" i="1"/>
  <c r="CQ4" i="1"/>
  <c r="CQ8" i="1"/>
  <c r="CQ12" i="1"/>
  <c r="CQ16" i="1"/>
  <c r="CQ20" i="1"/>
  <c r="CQ24" i="1"/>
  <c r="CQ28" i="1"/>
  <c r="CQ32" i="1"/>
  <c r="CQ36" i="1"/>
  <c r="CQ40" i="1"/>
  <c r="CQ44" i="1"/>
  <c r="CQ48" i="1"/>
  <c r="CQ5" i="1"/>
  <c r="CQ9" i="1"/>
  <c r="CQ13" i="1"/>
  <c r="CQ17" i="1"/>
  <c r="CQ21" i="1"/>
  <c r="CQ25" i="1"/>
  <c r="CQ29" i="1"/>
  <c r="CQ33" i="1"/>
  <c r="CQ37" i="1"/>
  <c r="CQ41" i="1"/>
  <c r="CQ45" i="1"/>
  <c r="CQ49" i="1"/>
  <c r="CQ7" i="1"/>
  <c r="CQ11" i="1"/>
  <c r="CQ15" i="1"/>
  <c r="CQ19" i="1"/>
  <c r="CQ23" i="1"/>
  <c r="CQ27" i="1"/>
  <c r="CQ31" i="1"/>
  <c r="CQ35" i="1"/>
  <c r="CQ39" i="1"/>
  <c r="CQ43" i="1"/>
  <c r="CQ47" i="1"/>
  <c r="CQ6" i="1"/>
  <c r="CQ10" i="1"/>
  <c r="CQ14" i="1"/>
  <c r="CQ18" i="1"/>
  <c r="CQ22" i="1"/>
  <c r="CQ26" i="1"/>
  <c r="CQ30" i="1"/>
  <c r="CQ34" i="1"/>
  <c r="CQ38" i="1"/>
  <c r="CQ42" i="1"/>
  <c r="CQ46" i="1"/>
  <c r="CQ50" i="1"/>
  <c r="CP2" i="1"/>
  <c r="AA2" i="1"/>
  <c r="DA36" i="1" l="1"/>
  <c r="CR36" i="1"/>
  <c r="DA39" i="1"/>
  <c r="CR39" i="1"/>
  <c r="DA5" i="1"/>
  <c r="CR5" i="1"/>
  <c r="DA38" i="1"/>
  <c r="CR38" i="1"/>
  <c r="DA48" i="1"/>
  <c r="CR48" i="1"/>
  <c r="DK4" i="1"/>
  <c r="DL4" i="1" s="1"/>
  <c r="DK30" i="1"/>
  <c r="DL30" i="1" s="1"/>
  <c r="DK22" i="1"/>
  <c r="DL22" i="1" s="1"/>
  <c r="DK28" i="1"/>
  <c r="DL28" i="1" s="1"/>
  <c r="DA26" i="1"/>
  <c r="CR26" i="1"/>
  <c r="DA23" i="1"/>
  <c r="CR23" i="1"/>
  <c r="DA37" i="1"/>
  <c r="CR37" i="1"/>
  <c r="DA4" i="1"/>
  <c r="CR4" i="1"/>
  <c r="DA22" i="1"/>
  <c r="CR22" i="1"/>
  <c r="DA35" i="1"/>
  <c r="CR35" i="1"/>
  <c r="DA49" i="1"/>
  <c r="CR49" i="1"/>
  <c r="DA17" i="1"/>
  <c r="CR17" i="1"/>
  <c r="DA16" i="1"/>
  <c r="CR16" i="1"/>
  <c r="DA50" i="1"/>
  <c r="CR50" i="1"/>
  <c r="DA34" i="1"/>
  <c r="CR34" i="1"/>
  <c r="DA18" i="1"/>
  <c r="CR18" i="1"/>
  <c r="DA47" i="1"/>
  <c r="CR47" i="1"/>
  <c r="DA31" i="1"/>
  <c r="CR31" i="1"/>
  <c r="DA15" i="1"/>
  <c r="CR15" i="1"/>
  <c r="DA45" i="1"/>
  <c r="CR45" i="1"/>
  <c r="DA29" i="1"/>
  <c r="CR29" i="1"/>
  <c r="DA13" i="1"/>
  <c r="CR13" i="1"/>
  <c r="DA44" i="1"/>
  <c r="CR44" i="1"/>
  <c r="DA28" i="1"/>
  <c r="CR28" i="1"/>
  <c r="DA12" i="1"/>
  <c r="CR12" i="1"/>
  <c r="CM2" i="1"/>
  <c r="DF2" i="1"/>
  <c r="DL31" i="1"/>
  <c r="DK31" i="1"/>
  <c r="DK42" i="1"/>
  <c r="DL42" i="1" s="1"/>
  <c r="DA42" i="1"/>
  <c r="CR42" i="1"/>
  <c r="DA10" i="1"/>
  <c r="CR10" i="1"/>
  <c r="DA7" i="1"/>
  <c r="CR7" i="1"/>
  <c r="DA21" i="1"/>
  <c r="CR21" i="1"/>
  <c r="DA20" i="1"/>
  <c r="CR20" i="1"/>
  <c r="DA6" i="1"/>
  <c r="CR6" i="1"/>
  <c r="DA19" i="1"/>
  <c r="CR19" i="1"/>
  <c r="DA33" i="1"/>
  <c r="CR33" i="1"/>
  <c r="DA32" i="1"/>
  <c r="CR32" i="1"/>
  <c r="DA46" i="1"/>
  <c r="CR46" i="1"/>
  <c r="DA30" i="1"/>
  <c r="CR30" i="1"/>
  <c r="DA14" i="1"/>
  <c r="CR14" i="1"/>
  <c r="DA43" i="1"/>
  <c r="CR43" i="1"/>
  <c r="DA27" i="1"/>
  <c r="CR27" i="1"/>
  <c r="DA11" i="1"/>
  <c r="CR11" i="1"/>
  <c r="DA41" i="1"/>
  <c r="CR41" i="1"/>
  <c r="DA25" i="1"/>
  <c r="CR25" i="1"/>
  <c r="DA9" i="1"/>
  <c r="CR9" i="1"/>
  <c r="DA40" i="1"/>
  <c r="CR40" i="1"/>
  <c r="DA24" i="1"/>
  <c r="CR24" i="1"/>
  <c r="DA8" i="1"/>
  <c r="CR8" i="1"/>
  <c r="DL23" i="1"/>
  <c r="DK23" i="1"/>
  <c r="DL25" i="1"/>
  <c r="DL20" i="1"/>
  <c r="DL7" i="1"/>
  <c r="DL14" i="1"/>
  <c r="DL35" i="1"/>
  <c r="DL44" i="1"/>
  <c r="DA2" i="1"/>
  <c r="DL39" i="1"/>
  <c r="DL18" i="1"/>
  <c r="DL21" i="1"/>
  <c r="DL37" i="1"/>
  <c r="DL9" i="1"/>
  <c r="DL32" i="1"/>
  <c r="DL34" i="1"/>
  <c r="DL19" i="1"/>
  <c r="DL48" i="1"/>
  <c r="CV2" i="1"/>
  <c r="DL43" i="1"/>
  <c r="DL29" i="1"/>
  <c r="DL12" i="1"/>
  <c r="DL17" i="1"/>
  <c r="DL45" i="1"/>
  <c r="DL5" i="1"/>
  <c r="DL27" i="1"/>
  <c r="C5" i="11"/>
  <c r="DG2" i="1"/>
  <c r="CS31" i="1"/>
  <c r="DB31" i="1"/>
  <c r="CS29" i="1"/>
  <c r="DB29" i="1"/>
  <c r="CW2" i="1"/>
  <c r="CS46" i="1"/>
  <c r="DB46" i="1"/>
  <c r="CS30" i="1"/>
  <c r="DB30" i="1"/>
  <c r="CS14" i="1"/>
  <c r="DB14" i="1"/>
  <c r="CS43" i="1"/>
  <c r="DB43" i="1"/>
  <c r="CS27" i="1"/>
  <c r="DB27" i="1"/>
  <c r="CS11" i="1"/>
  <c r="DB11" i="1"/>
  <c r="CS41" i="1"/>
  <c r="DB41" i="1"/>
  <c r="CS25" i="1"/>
  <c r="DB25" i="1"/>
  <c r="CS9" i="1"/>
  <c r="DB9" i="1"/>
  <c r="CS40" i="1"/>
  <c r="DB40" i="1"/>
  <c r="CS24" i="1"/>
  <c r="DB24" i="1"/>
  <c r="CS8" i="1"/>
  <c r="DB8" i="1"/>
  <c r="CS34" i="1"/>
  <c r="DB34" i="1"/>
  <c r="CS47" i="1"/>
  <c r="DB47" i="1"/>
  <c r="CS45" i="1"/>
  <c r="DB45" i="1"/>
  <c r="CS44" i="1"/>
  <c r="DB44" i="1"/>
  <c r="CS12" i="1"/>
  <c r="DB12" i="1"/>
  <c r="CS42" i="1"/>
  <c r="DB42" i="1"/>
  <c r="CS26" i="1"/>
  <c r="DB26" i="1"/>
  <c r="CS10" i="1"/>
  <c r="DB10" i="1"/>
  <c r="CS39" i="1"/>
  <c r="DB39" i="1"/>
  <c r="CS23" i="1"/>
  <c r="DB23" i="1"/>
  <c r="CS7" i="1"/>
  <c r="DB7" i="1"/>
  <c r="CS37" i="1"/>
  <c r="DB37" i="1"/>
  <c r="CS21" i="1"/>
  <c r="DB21" i="1"/>
  <c r="CS5" i="1"/>
  <c r="DB5" i="1"/>
  <c r="CS36" i="1"/>
  <c r="DB36" i="1"/>
  <c r="CS20" i="1"/>
  <c r="DB20" i="1"/>
  <c r="CS4" i="1"/>
  <c r="DB4" i="1"/>
  <c r="CS50" i="1"/>
  <c r="DB50" i="1"/>
  <c r="CS18" i="1"/>
  <c r="DB18" i="1"/>
  <c r="CS15" i="1"/>
  <c r="DB15" i="1"/>
  <c r="CS13" i="1"/>
  <c r="DB13" i="1"/>
  <c r="CS28" i="1"/>
  <c r="DB28" i="1"/>
  <c r="CS38" i="1"/>
  <c r="DB38" i="1"/>
  <c r="CS22" i="1"/>
  <c r="DB22" i="1"/>
  <c r="CS6" i="1"/>
  <c r="DB6" i="1"/>
  <c r="CS35" i="1"/>
  <c r="DB35" i="1"/>
  <c r="CS19" i="1"/>
  <c r="DB19" i="1"/>
  <c r="CS49" i="1"/>
  <c r="DB49" i="1"/>
  <c r="CS33" i="1"/>
  <c r="DB33" i="1"/>
  <c r="CS17" i="1"/>
  <c r="DB17" i="1"/>
  <c r="CS48" i="1"/>
  <c r="DB48" i="1"/>
  <c r="CS32" i="1"/>
  <c r="DB32" i="1"/>
  <c r="CS16" i="1"/>
  <c r="DB16" i="1"/>
  <c r="CN2" i="1"/>
  <c r="DL2" i="1" l="1"/>
  <c r="DB2" i="1"/>
  <c r="CS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 Cavagnolo</author>
  </authors>
  <commentList>
    <comment ref="CL3" authorId="0" shapeId="0" xr:uid="{23118DA0-7D89-419A-8C92-FCF048703CA7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"Excess Inventory" August inventory minus consumption max over measured period</t>
        </r>
      </text>
    </comment>
    <comment ref="CM3" authorId="0" shapeId="0" xr:uid="{5145C5E0-EE78-4E82-9A15-310FE0B6CD30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"Excess Inventory" August inventory minus consumption max over measured period</t>
        </r>
      </text>
    </comment>
    <comment ref="CN3" authorId="0" shapeId="0" xr:uid="{BF88123E-4C34-4293-8140-540097C9B4C8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(full period) @ assumed unit inventory value</t>
        </r>
      </text>
    </comment>
    <comment ref="CO3" authorId="0" shapeId="0" xr:uid="{3B57D91C-16D7-471D-94F3-845BC6FA33DB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Marc Cavagnolo:
"Excess Inventory" August inventory minus consumption max over last quarter</t>
        </r>
      </text>
    </comment>
    <comment ref="CP3" authorId="0" shapeId="0" xr:uid="{FEC59B41-3A69-4849-8FDC-6C8343C8F968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(last quarter) @ assumed unit inventory value</t>
        </r>
      </text>
    </comment>
    <comment ref="CR3" authorId="0" shapeId="0" xr:uid="{A86A18D3-FDA0-4C94-B0F1-BFB8C34DDC46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Marc Cavagnolo:
"Excess Inventory" August inventory minus consumption average (over full period) plus two standard deviations</t>
        </r>
      </text>
    </comment>
    <comment ref="CS3" authorId="0" shapeId="0" xr:uid="{76049182-9837-43C6-8FEC-C8B00AC3CA08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(period ave + 2StD) @ assumed unit inventory value</t>
        </r>
      </text>
    </comment>
    <comment ref="CU3" authorId="0" shapeId="0" xr:uid="{1EEC9986-6495-484E-975A-F8216157F6B9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"Excess Inventory" August inventory minus consumption max over measured period</t>
        </r>
      </text>
    </comment>
    <comment ref="CV3" authorId="0" shapeId="0" xr:uid="{DEC2882C-C694-4BC2-BE66-A65C3DD1C572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"Excess Inventory" August inventory minus consumption max over measured period (assume 65% yield at target channel)</t>
        </r>
      </text>
    </comment>
    <comment ref="CW3" authorId="0" shapeId="0" xr:uid="{E2417C37-E223-4F2C-B84F-FD4B868A72A5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(full period) @ assumed unit inventory value</t>
        </r>
      </text>
    </comment>
    <comment ref="CX3" authorId="0" shapeId="0" xr:uid="{A3589A31-AFEE-4C46-9CFB-94F608FB8926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Marc Cavagnolo:
"Excess Inventory" August inventory minus consumption max over last quarter</t>
        </r>
      </text>
    </comment>
    <comment ref="CY3" authorId="0" shapeId="0" xr:uid="{778CF2CE-90FC-44AF-B15C-505CB6AB0FCD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(last quarter) @ assumed unit inventory value</t>
        </r>
      </text>
    </comment>
    <comment ref="DA3" authorId="0" shapeId="0" xr:uid="{E9736A20-C0E8-4A14-896C-DE1699004E81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Marc Cavagnolo:
"Excess Inventory" August inventory minus consumption average (over full period) plus two standard deviations</t>
        </r>
      </text>
    </comment>
    <comment ref="DB3" authorId="0" shapeId="0" xr:uid="{FC60E3BC-50FA-49D1-B729-198C4CF479A5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(period ave + 2StD) @ assumed unit inventory value</t>
        </r>
      </text>
    </comment>
    <comment ref="DL3" authorId="0" shapeId="0" xr:uid="{3931AD27-EA57-4EEE-971C-5AC22E1A93A7}">
      <text>
        <r>
          <rPr>
            <b/>
            <sz val="9"/>
            <color indexed="81"/>
            <rFont val="Tahoma"/>
            <family val="2"/>
          </rPr>
          <t>Marc Cavagnolo:</t>
        </r>
        <r>
          <rPr>
            <sz val="9"/>
            <color indexed="81"/>
            <rFont val="Tahoma"/>
            <family val="2"/>
          </rPr>
          <t xml:space="preserve">
Value of the Excess Inventory (period ave + 2StD) @ assumed unit inventory value</t>
        </r>
      </text>
    </comment>
  </commentList>
</comments>
</file>

<file path=xl/sharedStrings.xml><?xml version="1.0" encoding="utf-8"?>
<sst xmlns="http://schemas.openxmlformats.org/spreadsheetml/2006/main" count="113" uniqueCount="88">
  <si>
    <t>AVERAGE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</si>
  <si>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</si>
  <si>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</si>
  <si>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</si>
  <si>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</si>
  <si>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</si>
  <si>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</si>
  <si>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</si>
  <si>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</si>
  <si>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</si>
  <si>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</si>
  <si>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</si>
  <si>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</si>
  <si>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</si>
  <si>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</si>
  <si>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</si>
  <si>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</si>
  <si>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</si>
  <si>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</si>
  <si>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</si>
  <si>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</si>
  <si>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</si>
  <si>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</si>
  <si>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</si>
  <si>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</si>
  <si>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</si>
  <si>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Channel</t>
  </si>
  <si>
    <t>Totals</t>
  </si>
  <si>
    <t>PER.AVE</t>
  </si>
  <si>
    <t>PER.StD</t>
  </si>
  <si>
    <t>LQ.AVE</t>
  </si>
  <si>
    <t>LQ.StD</t>
  </si>
  <si>
    <t>PER.MAX</t>
  </si>
  <si>
    <t>I-PMAX</t>
  </si>
  <si>
    <t>PER.A+2SD</t>
  </si>
  <si>
    <t>Val&gt;P.A+2SD</t>
  </si>
  <si>
    <t>IVal&gt;PMAX</t>
  </si>
  <si>
    <t>I-P.A+2SD</t>
  </si>
  <si>
    <t>AUG-AVE</t>
  </si>
  <si>
    <t>AUG/AVE</t>
  </si>
  <si>
    <t>I-6MAX</t>
  </si>
  <si>
    <t>L6.MAX</t>
  </si>
  <si>
    <t>STDev</t>
  </si>
  <si>
    <t>AUG Inv</t>
  </si>
  <si>
    <t>6mo AvCons</t>
  </si>
  <si>
    <t>Cons/Inv</t>
  </si>
  <si>
    <t>QAM COMPARE DATA</t>
  </si>
  <si>
    <t>QAM Turns</t>
  </si>
  <si>
    <t>MONTHLY LASER CONSUMPTION - Sep15 thru Sep 17</t>
  </si>
  <si>
    <t>COB INVENTORY -  Sep 2015 thru Aug 2017</t>
  </si>
  <si>
    <t>LM Inv</t>
  </si>
  <si>
    <t>CoB Inv</t>
  </si>
  <si>
    <t>CoB COMPARE DATA</t>
  </si>
  <si>
    <t>IVal&gt;6MAX</t>
  </si>
  <si>
    <t>Month</t>
  </si>
  <si>
    <t>Total</t>
  </si>
  <si>
    <t>COB Turns</t>
  </si>
  <si>
    <t>COMBINED COMPARE DATA</t>
  </si>
  <si>
    <t>Combined Turns</t>
  </si>
  <si>
    <t>CoB Inv (A)</t>
  </si>
  <si>
    <t>Yield</t>
  </si>
  <si>
    <t>Consumption</t>
  </si>
  <si>
    <t>Turns</t>
  </si>
  <si>
    <t>Total Inv</t>
  </si>
  <si>
    <t>Tot Inv Value</t>
  </si>
  <si>
    <t>Cons (All)</t>
  </si>
  <si>
    <t>Cons (21)</t>
  </si>
  <si>
    <t>CoB Inv (All)</t>
  </si>
  <si>
    <t>Cob Inv (21)</t>
  </si>
  <si>
    <t>Turns Calculation</t>
  </si>
  <si>
    <t>CoB</t>
  </si>
  <si>
    <t>LM</t>
  </si>
  <si>
    <t>Units (Inv)</t>
  </si>
  <si>
    <t>$/Unit</t>
  </si>
  <si>
    <t>Value</t>
  </si>
  <si>
    <t>Value (Cons)</t>
  </si>
  <si>
    <t>TTM Units (Cons)</t>
  </si>
  <si>
    <t>N/A</t>
  </si>
  <si>
    <t>Arris Buffer</t>
  </si>
  <si>
    <t>1,000 LM</t>
  </si>
  <si>
    <t>3,000 CoB</t>
  </si>
  <si>
    <t>Channel 21</t>
  </si>
  <si>
    <t>Channel 01</t>
  </si>
  <si>
    <t>1,500 LM</t>
  </si>
  <si>
    <t>3,500 CoB</t>
  </si>
  <si>
    <t>LASER MODULE INVENTORY - Jan17 thru Aug17</t>
  </si>
  <si>
    <t>MONTHLY UNIT PRODUCTION (CoB &amp; LM)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</si>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</sst>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rgb="FFFFB7B7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left"/>
    </xf>
    <xf numFmtId="165" fontId="2" fillId="0" borderId="0" xfId="1" applyNumberFormat="1" applyFont="1"/>
    <xf numFmtId="165" fontId="2" fillId="0" borderId="0" xfId="0" applyNumberFormat="1" applyFont="1"/>
    <xf numFmtId="0" fontId="2" fillId="2" borderId="1" xfId="0" applyFont="1" applyFill="1" applyBorder="1" applyAlignment="1">
      <alignment horizontal="left"/>
    </xf>
    <xf numFmtId="166" fontId="2" fillId="8" borderId="0" xfId="2" applyNumberFormat="1" applyFont="1" applyFill="1" applyBorder="1" applyAlignment="1">
      <alignment horizontal="left"/>
    </xf>
    <xf numFmtId="165" fontId="2" fillId="0" borderId="0" xfId="1" applyNumberFormat="1" applyFont="1" applyFill="1"/>
    <xf numFmtId="0" fontId="2" fillId="4" borderId="0" xfId="0" applyFont="1" applyFill="1" applyBorder="1" applyAlignment="1">
      <alignment horizontal="center"/>
    </xf>
    <xf numFmtId="43" fontId="2" fillId="0" borderId="0" xfId="1" applyFont="1"/>
    <xf numFmtId="0" fontId="5" fillId="4" borderId="4" xfId="0" applyFont="1" applyFill="1" applyBorder="1" applyAlignment="1"/>
    <xf numFmtId="0" fontId="5" fillId="0" borderId="0" xfId="0" applyFont="1"/>
    <xf numFmtId="0" fontId="5" fillId="0" borderId="2" xfId="0" applyFont="1" applyBorder="1" applyAlignment="1">
      <alignment horizontal="left"/>
    </xf>
    <xf numFmtId="165" fontId="5" fillId="0" borderId="0" xfId="1" applyNumberFormat="1" applyFont="1"/>
    <xf numFmtId="165" fontId="5" fillId="0" borderId="3" xfId="1" applyNumberFormat="1" applyFont="1" applyBorder="1"/>
    <xf numFmtId="164" fontId="5" fillId="0" borderId="0" xfId="1" applyNumberFormat="1" applyFont="1"/>
    <xf numFmtId="43" fontId="5" fillId="0" borderId="8" xfId="1" applyFont="1" applyBorder="1"/>
    <xf numFmtId="165" fontId="5" fillId="0" borderId="0" xfId="1" applyNumberFormat="1" applyFont="1" applyBorder="1"/>
    <xf numFmtId="165" fontId="5" fillId="0" borderId="8" xfId="1" applyNumberFormat="1" applyFont="1" applyBorder="1"/>
    <xf numFmtId="43" fontId="5" fillId="0" borderId="2" xfId="1" applyFont="1" applyBorder="1"/>
    <xf numFmtId="165" fontId="5" fillId="0" borderId="10" xfId="1" applyNumberFormat="1" applyFont="1" applyBorder="1"/>
    <xf numFmtId="165" fontId="5" fillId="0" borderId="11" xfId="1" applyNumberFormat="1" applyFont="1" applyBorder="1"/>
    <xf numFmtId="164" fontId="5" fillId="0" borderId="11" xfId="1" applyNumberFormat="1" applyFont="1" applyBorder="1"/>
    <xf numFmtId="164" fontId="5" fillId="0" borderId="3" xfId="1" applyNumberFormat="1" applyFont="1" applyBorder="1"/>
    <xf numFmtId="166" fontId="6" fillId="0" borderId="0" xfId="2" applyNumberFormat="1" applyFont="1" applyBorder="1"/>
    <xf numFmtId="0" fontId="5" fillId="2" borderId="1" xfId="0" applyFont="1" applyFill="1" applyBorder="1" applyAlignment="1">
      <alignment horizontal="left"/>
    </xf>
    <xf numFmtId="17" fontId="5" fillId="6" borderId="1" xfId="0" applyNumberFormat="1" applyFont="1" applyFill="1" applyBorder="1" applyAlignment="1">
      <alignment horizontal="left"/>
    </xf>
    <xf numFmtId="0" fontId="5" fillId="6" borderId="12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5" fillId="6" borderId="9" xfId="0" applyFont="1" applyFill="1" applyBorder="1" applyAlignment="1">
      <alignment horizontal="left"/>
    </xf>
    <xf numFmtId="17" fontId="5" fillId="10" borderId="12" xfId="0" applyNumberFormat="1" applyFont="1" applyFill="1" applyBorder="1" applyAlignment="1">
      <alignment horizontal="left"/>
    </xf>
    <xf numFmtId="17" fontId="5" fillId="10" borderId="1" xfId="0" applyNumberFormat="1" applyFont="1" applyFill="1" applyBorder="1" applyAlignment="1">
      <alignment horizontal="left"/>
    </xf>
    <xf numFmtId="17" fontId="5" fillId="10" borderId="9" xfId="0" applyNumberFormat="1" applyFont="1" applyFill="1" applyBorder="1" applyAlignment="1">
      <alignment horizontal="left"/>
    </xf>
    <xf numFmtId="0" fontId="5" fillId="10" borderId="1" xfId="0" applyFont="1" applyFill="1" applyBorder="1" applyAlignment="1">
      <alignment horizontal="left"/>
    </xf>
    <xf numFmtId="0" fontId="5" fillId="10" borderId="9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5" fillId="7" borderId="12" xfId="0" applyFont="1" applyFill="1" applyBorder="1" applyAlignment="1">
      <alignment horizontal="left"/>
    </xf>
    <xf numFmtId="0" fontId="5" fillId="8" borderId="12" xfId="0" applyFont="1" applyFill="1" applyBorder="1" applyAlignment="1">
      <alignment horizontal="left"/>
    </xf>
    <xf numFmtId="166" fontId="5" fillId="8" borderId="0" xfId="2" applyNumberFormat="1" applyFont="1" applyFill="1" applyBorder="1" applyAlignment="1">
      <alignment horizontal="left"/>
    </xf>
    <xf numFmtId="165" fontId="5" fillId="5" borderId="0" xfId="0" applyNumberFormat="1" applyFont="1" applyFill="1" applyAlignment="1">
      <alignment horizontal="left"/>
    </xf>
    <xf numFmtId="165" fontId="5" fillId="0" borderId="2" xfId="1" applyNumberFormat="1" applyFont="1" applyBorder="1"/>
    <xf numFmtId="164" fontId="5" fillId="0" borderId="0" xfId="1" applyNumberFormat="1" applyFont="1" applyBorder="1"/>
    <xf numFmtId="43" fontId="5" fillId="0" borderId="2" xfId="1" applyNumberFormat="1" applyFont="1" applyBorder="1"/>
    <xf numFmtId="166" fontId="5" fillId="0" borderId="0" xfId="2" applyNumberFormat="1" applyFont="1" applyBorder="1"/>
    <xf numFmtId="165" fontId="5" fillId="0" borderId="0" xfId="0" applyNumberFormat="1" applyFont="1"/>
    <xf numFmtId="17" fontId="2" fillId="8" borderId="1" xfId="0" applyNumberFormat="1" applyFont="1" applyFill="1" applyBorder="1" applyAlignment="1">
      <alignment horizontal="left"/>
    </xf>
    <xf numFmtId="166" fontId="2" fillId="6" borderId="0" xfId="2" applyNumberFormat="1" applyFont="1" applyFill="1" applyBorder="1" applyAlignment="1">
      <alignment horizontal="left"/>
    </xf>
    <xf numFmtId="43" fontId="5" fillId="0" borderId="3" xfId="1" applyNumberFormat="1" applyFont="1" applyBorder="1"/>
    <xf numFmtId="43" fontId="5" fillId="0" borderId="0" xfId="1" applyNumberFormat="1" applyFont="1"/>
    <xf numFmtId="166" fontId="5" fillId="8" borderId="0" xfId="2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5" fillId="12" borderId="12" xfId="0" applyFont="1" applyFill="1" applyBorder="1" applyAlignment="1">
      <alignment horizontal="right"/>
    </xf>
    <xf numFmtId="166" fontId="5" fillId="12" borderId="0" xfId="2" applyNumberFormat="1" applyFont="1" applyFill="1" applyBorder="1" applyAlignment="1">
      <alignment horizontal="right"/>
    </xf>
    <xf numFmtId="165" fontId="5" fillId="11" borderId="0" xfId="0" applyNumberFormat="1" applyFont="1" applyFill="1" applyAlignment="1">
      <alignment horizontal="right"/>
    </xf>
    <xf numFmtId="9" fontId="2" fillId="0" borderId="0" xfId="3" applyFont="1"/>
    <xf numFmtId="0" fontId="2" fillId="4" borderId="3" xfId="0" applyFont="1" applyFill="1" applyBorder="1" applyAlignment="1"/>
    <xf numFmtId="0" fontId="2" fillId="4" borderId="0" xfId="0" applyFont="1" applyFill="1" applyBorder="1" applyAlignment="1"/>
    <xf numFmtId="166" fontId="5" fillId="0" borderId="3" xfId="2" applyNumberFormat="1" applyFont="1" applyBorder="1"/>
    <xf numFmtId="17" fontId="5" fillId="2" borderId="1" xfId="0" applyNumberFormat="1" applyFont="1" applyFill="1" applyBorder="1" applyAlignment="1">
      <alignment horizontal="left"/>
    </xf>
    <xf numFmtId="43" fontId="0" fillId="0" borderId="0" xfId="1" applyFont="1"/>
    <xf numFmtId="165" fontId="0" fillId="0" borderId="0" xfId="0" applyNumberFormat="1"/>
    <xf numFmtId="165" fontId="0" fillId="0" borderId="0" xfId="1" applyNumberFormat="1" applyFont="1"/>
    <xf numFmtId="166" fontId="0" fillId="0" borderId="0" xfId="2" applyNumberFormat="1" applyFont="1"/>
    <xf numFmtId="0" fontId="0" fillId="0" borderId="0" xfId="0" applyAlignment="1">
      <alignment horizontal="right"/>
    </xf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11" borderId="7" xfId="0" applyFont="1" applyFill="1" applyBorder="1" applyAlignment="1">
      <alignment horizontal="center"/>
    </xf>
    <xf numFmtId="0" fontId="5" fillId="11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44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LM + CoB</a:t>
            </a:r>
            <a:r>
              <a:rPr lang="en-US" baseline="0"/>
              <a:t> </a:t>
            </a:r>
            <a:r>
              <a:rPr lang="en-US"/>
              <a:t>Inv &amp; Consumption (6mo Ave)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Sheet2!$B$3</c:f>
              <c:strCache>
                <c:ptCount val="1"/>
                <c:pt idx="0">
                  <c:v>LM Inv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Sheet2!$A$4:$A$50</c:f>
              <c:numCache>
                <c:formatCode>General</c:formatCode>
                <c:ptCount val="4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</c:numCache>
            </c:numRef>
          </c:cat>
          <c:val>
            <c:numRef>
              <c:f>Sheet2!$E$4:$E$50</c:f>
              <c:numCache>
                <c:formatCode>_(* #,##0.00_);_(* \(#,##0.00\);_(* "-"??_);_(@_)</c:formatCode>
                <c:ptCount val="47"/>
                <c:pt idx="0">
                  <c:v>29</c:v>
                </c:pt>
                <c:pt idx="1">
                  <c:v>2306.2000000000003</c:v>
                </c:pt>
                <c:pt idx="2">
                  <c:v>10720.8</c:v>
                </c:pt>
                <c:pt idx="3">
                  <c:v>14739</c:v>
                </c:pt>
                <c:pt idx="4">
                  <c:v>11080.400000000001</c:v>
                </c:pt>
                <c:pt idx="5">
                  <c:v>6758.2000000000007</c:v>
                </c:pt>
                <c:pt idx="6">
                  <c:v>5953.4000000000005</c:v>
                </c:pt>
                <c:pt idx="7">
                  <c:v>2513.6</c:v>
                </c:pt>
                <c:pt idx="8">
                  <c:v>3471</c:v>
                </c:pt>
                <c:pt idx="9">
                  <c:v>6815.2000000000007</c:v>
                </c:pt>
                <c:pt idx="10">
                  <c:v>7362.2000000000007</c:v>
                </c:pt>
                <c:pt idx="11">
                  <c:v>2514.4</c:v>
                </c:pt>
                <c:pt idx="12">
                  <c:v>1352</c:v>
                </c:pt>
                <c:pt idx="13">
                  <c:v>584.6</c:v>
                </c:pt>
                <c:pt idx="14">
                  <c:v>3292.6000000000004</c:v>
                </c:pt>
                <c:pt idx="15">
                  <c:v>3981</c:v>
                </c:pt>
                <c:pt idx="16">
                  <c:v>4656.4000000000005</c:v>
                </c:pt>
                <c:pt idx="17">
                  <c:v>1453.8</c:v>
                </c:pt>
                <c:pt idx="18">
                  <c:v>1667.6000000000001</c:v>
                </c:pt>
                <c:pt idx="19">
                  <c:v>1380.2</c:v>
                </c:pt>
                <c:pt idx="20">
                  <c:v>3975</c:v>
                </c:pt>
                <c:pt idx="21">
                  <c:v>3114.8</c:v>
                </c:pt>
                <c:pt idx="22">
                  <c:v>1342.8000000000002</c:v>
                </c:pt>
                <c:pt idx="23">
                  <c:v>1424</c:v>
                </c:pt>
                <c:pt idx="24">
                  <c:v>1006.6</c:v>
                </c:pt>
                <c:pt idx="25">
                  <c:v>2030.8000000000002</c:v>
                </c:pt>
                <c:pt idx="26">
                  <c:v>1378.2</c:v>
                </c:pt>
                <c:pt idx="27">
                  <c:v>1027.8000000000002</c:v>
                </c:pt>
                <c:pt idx="28">
                  <c:v>258.60000000000002</c:v>
                </c:pt>
                <c:pt idx="29">
                  <c:v>1091.4000000000001</c:v>
                </c:pt>
                <c:pt idx="30">
                  <c:v>1248.5999999999999</c:v>
                </c:pt>
                <c:pt idx="31">
                  <c:v>1087.2</c:v>
                </c:pt>
                <c:pt idx="32">
                  <c:v>313.39999999999998</c:v>
                </c:pt>
                <c:pt idx="33">
                  <c:v>904</c:v>
                </c:pt>
                <c:pt idx="34">
                  <c:v>2320.6000000000004</c:v>
                </c:pt>
                <c:pt idx="35">
                  <c:v>2424</c:v>
                </c:pt>
                <c:pt idx="36">
                  <c:v>1813.4</c:v>
                </c:pt>
                <c:pt idx="37">
                  <c:v>821.80000000000007</c:v>
                </c:pt>
                <c:pt idx="38">
                  <c:v>807.2</c:v>
                </c:pt>
                <c:pt idx="39">
                  <c:v>1089.5999999999999</c:v>
                </c:pt>
                <c:pt idx="40">
                  <c:v>2291.1999999999998</c:v>
                </c:pt>
                <c:pt idx="41">
                  <c:v>1347.2</c:v>
                </c:pt>
                <c:pt idx="42">
                  <c:v>3491.2000000000003</c:v>
                </c:pt>
                <c:pt idx="43">
                  <c:v>4236.3999999999996</c:v>
                </c:pt>
                <c:pt idx="44">
                  <c:v>3047</c:v>
                </c:pt>
                <c:pt idx="45">
                  <c:v>1066.2</c:v>
                </c:pt>
                <c:pt idx="46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AC-4236-933D-1C980ACAB5DE}"/>
            </c:ext>
          </c:extLst>
        </c:ser>
        <c:ser>
          <c:idx val="0"/>
          <c:order val="1"/>
          <c:tx>
            <c:strRef>
              <c:f>Sheet2!$F$3</c:f>
              <c:strCache>
                <c:ptCount val="1"/>
                <c:pt idx="0">
                  <c:v> 6mo AvCons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Sheet2!$A$4:$A$50</c:f>
              <c:numCache>
                <c:formatCode>General</c:formatCode>
                <c:ptCount val="4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</c:numCache>
            </c:numRef>
          </c:cat>
          <c:val>
            <c:numRef>
              <c:f>Sheet2!$F$4:$F$50</c:f>
              <c:numCache>
                <c:formatCode>_(* #,##0_);_(* \(#,##0\);_(* "-"??_);_(@_)</c:formatCode>
                <c:ptCount val="47"/>
                <c:pt idx="0">
                  <c:v>3.5</c:v>
                </c:pt>
                <c:pt idx="1">
                  <c:v>4</c:v>
                </c:pt>
                <c:pt idx="2">
                  <c:v>816.5</c:v>
                </c:pt>
                <c:pt idx="3">
                  <c:v>1168.1666666666667</c:v>
                </c:pt>
                <c:pt idx="4">
                  <c:v>1388</c:v>
                </c:pt>
                <c:pt idx="5">
                  <c:v>162.5</c:v>
                </c:pt>
                <c:pt idx="6">
                  <c:v>790.33333333333337</c:v>
                </c:pt>
                <c:pt idx="7">
                  <c:v>75</c:v>
                </c:pt>
                <c:pt idx="8">
                  <c:v>634.66666666666663</c:v>
                </c:pt>
                <c:pt idx="9">
                  <c:v>98.5</c:v>
                </c:pt>
                <c:pt idx="10">
                  <c:v>213.33333333333334</c:v>
                </c:pt>
                <c:pt idx="11">
                  <c:v>269.83333333333331</c:v>
                </c:pt>
                <c:pt idx="12">
                  <c:v>81</c:v>
                </c:pt>
                <c:pt idx="13">
                  <c:v>32.833333333333336</c:v>
                </c:pt>
                <c:pt idx="14">
                  <c:v>46</c:v>
                </c:pt>
                <c:pt idx="15">
                  <c:v>338.83333333333331</c:v>
                </c:pt>
                <c:pt idx="16">
                  <c:v>154.83333333333334</c:v>
                </c:pt>
                <c:pt idx="17">
                  <c:v>166.33333333333334</c:v>
                </c:pt>
                <c:pt idx="18">
                  <c:v>127.66666666666667</c:v>
                </c:pt>
                <c:pt idx="19">
                  <c:v>20.166666666666668</c:v>
                </c:pt>
                <c:pt idx="20">
                  <c:v>49.333333333333336</c:v>
                </c:pt>
                <c:pt idx="21">
                  <c:v>140.16666666666666</c:v>
                </c:pt>
                <c:pt idx="22">
                  <c:v>46.666666666666664</c:v>
                </c:pt>
                <c:pt idx="23">
                  <c:v>40.5</c:v>
                </c:pt>
                <c:pt idx="24">
                  <c:v>119.66666666666667</c:v>
                </c:pt>
                <c:pt idx="25">
                  <c:v>33.333333333333336</c:v>
                </c:pt>
                <c:pt idx="26">
                  <c:v>189</c:v>
                </c:pt>
                <c:pt idx="27">
                  <c:v>13.166666666666666</c:v>
                </c:pt>
                <c:pt idx="28">
                  <c:v>15</c:v>
                </c:pt>
                <c:pt idx="29">
                  <c:v>72.333333333333329</c:v>
                </c:pt>
                <c:pt idx="30">
                  <c:v>119</c:v>
                </c:pt>
                <c:pt idx="31">
                  <c:v>32.333333333333336</c:v>
                </c:pt>
                <c:pt idx="32">
                  <c:v>26.666666666666668</c:v>
                </c:pt>
                <c:pt idx="33">
                  <c:v>159.83333333333334</c:v>
                </c:pt>
                <c:pt idx="34">
                  <c:v>118.16666666666667</c:v>
                </c:pt>
                <c:pt idx="35">
                  <c:v>23.833333333333332</c:v>
                </c:pt>
                <c:pt idx="36">
                  <c:v>196.33333333333334</c:v>
                </c:pt>
                <c:pt idx="37">
                  <c:v>5.333333333333333</c:v>
                </c:pt>
                <c:pt idx="38">
                  <c:v>11.5</c:v>
                </c:pt>
                <c:pt idx="39">
                  <c:v>187.66666666666666</c:v>
                </c:pt>
                <c:pt idx="40">
                  <c:v>87.5</c:v>
                </c:pt>
                <c:pt idx="41">
                  <c:v>133.16666666666666</c:v>
                </c:pt>
                <c:pt idx="42">
                  <c:v>69.333333333333329</c:v>
                </c:pt>
                <c:pt idx="43">
                  <c:v>56.333333333333336</c:v>
                </c:pt>
                <c:pt idx="44">
                  <c:v>41.666666666666664</c:v>
                </c:pt>
                <c:pt idx="45">
                  <c:v>0.33333333333333331</c:v>
                </c:pt>
                <c:pt idx="46">
                  <c:v>0.83333333333333337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AC-4236-933D-1C980ACAB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541024"/>
        <c:axId val="375541352"/>
      </c:barChart>
      <c:catAx>
        <c:axId val="37554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41352"/>
        <c:crosses val="autoZero"/>
        <c:auto val="1"/>
        <c:lblAlgn val="ctr"/>
        <c:lblOffset val="100"/>
        <c:noMultiLvlLbl val="0"/>
      </c:catAx>
      <c:valAx>
        <c:axId val="375541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4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LM + CoB Inventory Annual Turns (12mo Consumption / Inv)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578399262061684E-2"/>
          <c:y val="0.16267543859649122"/>
          <c:w val="0.93085849943629717"/>
          <c:h val="0.735577773173090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Sheet2!$G$3</c:f>
              <c:strCache>
                <c:ptCount val="1"/>
                <c:pt idx="0">
                  <c:v> Cons/Inv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Sheet2!$A$4:$A$50</c:f>
              <c:numCache>
                <c:formatCode>General</c:formatCode>
                <c:ptCount val="4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</c:numCache>
            </c:numRef>
          </c:cat>
          <c:val>
            <c:numRef>
              <c:f>Sheet2!$G$4:$G$50</c:f>
              <c:numCache>
                <c:formatCode>_(* #,##0.00_);_(* \(#,##0.00\);_(* "-"??_);_(@_)</c:formatCode>
                <c:ptCount val="47"/>
                <c:pt idx="0">
                  <c:v>1.4482758620689655</c:v>
                </c:pt>
                <c:pt idx="1">
                  <c:v>2.0813459370392851E-2</c:v>
                </c:pt>
                <c:pt idx="2">
                  <c:v>0.91392433400492512</c:v>
                </c:pt>
                <c:pt idx="3">
                  <c:v>0.95108216296899384</c:v>
                </c:pt>
                <c:pt idx="4">
                  <c:v>1.5031948305115337</c:v>
                </c:pt>
                <c:pt idx="5">
                  <c:v>0.28853836820455148</c:v>
                </c:pt>
                <c:pt idx="6">
                  <c:v>1.5930392716766888</c:v>
                </c:pt>
                <c:pt idx="7">
                  <c:v>0.35805219605346916</c:v>
                </c:pt>
                <c:pt idx="8">
                  <c:v>2.1941803514837224</c:v>
                </c:pt>
                <c:pt idx="9">
                  <c:v>0.17343584927808425</c:v>
                </c:pt>
                <c:pt idx="10">
                  <c:v>0.34772214827089726</c:v>
                </c:pt>
                <c:pt idx="11">
                  <c:v>1.2877823735284759</c:v>
                </c:pt>
                <c:pt idx="12">
                  <c:v>0.71893491124260356</c:v>
                </c:pt>
                <c:pt idx="13">
                  <c:v>0.67396510434485113</c:v>
                </c:pt>
                <c:pt idx="14">
                  <c:v>0.1676486667071615</c:v>
                </c:pt>
                <c:pt idx="15">
                  <c:v>1.0213514192413966</c:v>
                </c:pt>
                <c:pt idx="16">
                  <c:v>0.39902070268877238</c:v>
                </c:pt>
                <c:pt idx="17">
                  <c:v>1.3729536387398542</c:v>
                </c:pt>
                <c:pt idx="18">
                  <c:v>0.91868553609978409</c:v>
                </c:pt>
                <c:pt idx="19">
                  <c:v>0.17533690769453703</c:v>
                </c:pt>
                <c:pt idx="20">
                  <c:v>0.14893081761006288</c:v>
                </c:pt>
                <c:pt idx="21">
                  <c:v>0.54000256838320271</c:v>
                </c:pt>
                <c:pt idx="22">
                  <c:v>0.41703902293714623</c:v>
                </c:pt>
                <c:pt idx="23">
                  <c:v>0.34129213483146065</c:v>
                </c:pt>
                <c:pt idx="24">
                  <c:v>1.4265845420226504</c:v>
                </c:pt>
                <c:pt idx="25">
                  <c:v>0.19696671262556625</c:v>
                </c:pt>
                <c:pt idx="26">
                  <c:v>1.6456247279059641</c:v>
                </c:pt>
                <c:pt idx="27">
                  <c:v>0.15372640591554773</c:v>
                </c:pt>
                <c:pt idx="28">
                  <c:v>0.6960556844547563</c:v>
                </c:pt>
                <c:pt idx="29">
                  <c:v>0.79530877771669406</c:v>
                </c:pt>
                <c:pt idx="30">
                  <c:v>1.1436809226333495</c:v>
                </c:pt>
                <c:pt idx="31">
                  <c:v>0.35688005886681384</c:v>
                </c:pt>
                <c:pt idx="32">
                  <c:v>1.0210593490746651</c:v>
                </c:pt>
                <c:pt idx="33">
                  <c:v>2.1216814159292037</c:v>
                </c:pt>
                <c:pt idx="34">
                  <c:v>0.61104886667241221</c:v>
                </c:pt>
                <c:pt idx="35">
                  <c:v>0.11798679867986799</c:v>
                </c:pt>
                <c:pt idx="36">
                  <c:v>1.299216940553656</c:v>
                </c:pt>
                <c:pt idx="37">
                  <c:v>7.7877829155512279E-2</c:v>
                </c:pt>
                <c:pt idx="38">
                  <c:v>0.17096134786917738</c:v>
                </c:pt>
                <c:pt idx="39">
                  <c:v>2.066813509544787</c:v>
                </c:pt>
                <c:pt idx="40">
                  <c:v>0.45827513966480449</c:v>
                </c:pt>
                <c:pt idx="41">
                  <c:v>1.1861638954869358</c:v>
                </c:pt>
                <c:pt idx="42">
                  <c:v>0.23831347387717688</c:v>
                </c:pt>
                <c:pt idx="43">
                  <c:v>0.15956944575583043</c:v>
                </c:pt>
                <c:pt idx="44">
                  <c:v>0.16409583196586808</c:v>
                </c:pt>
                <c:pt idx="45">
                  <c:v>3.7516413430876009E-3</c:v>
                </c:pt>
                <c:pt idx="46">
                  <c:v>0.14705882352941177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9-4A00-9EA4-CD20EBF6E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5541024"/>
        <c:axId val="375541352"/>
      </c:barChart>
      <c:catAx>
        <c:axId val="37554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41352"/>
        <c:crosses val="autoZero"/>
        <c:auto val="1"/>
        <c:lblAlgn val="ctr"/>
        <c:lblOffset val="100"/>
        <c:noMultiLvlLbl val="0"/>
      </c:catAx>
      <c:valAx>
        <c:axId val="375541352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54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QAM</a:t>
            </a:r>
            <a:r>
              <a:rPr lang="en-US" baseline="0"/>
              <a:t> CoB Inventory vs Consumption Growth</a:t>
            </a:r>
            <a:endParaRPr lang="en-US"/>
          </a:p>
        </c:rich>
      </c:tx>
      <c:layout>
        <c:manualLayout>
          <c:xMode val="edge"/>
          <c:yMode val="edge"/>
          <c:x val="0.27877771047849786"/>
          <c:y val="9.861932938856015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947439262399891E-2"/>
          <c:y val="0.11878698224852073"/>
          <c:w val="0.88497126320748365"/>
          <c:h val="0.68521680721862421"/>
        </c:manualLayout>
      </c:layout>
      <c:areaChart>
        <c:grouping val="stack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 Cons (All)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Sheet4!$A$2:$A$25</c:f>
              <c:numCache>
                <c:formatCode>mmm\-yy</c:formatCode>
                <c:ptCount val="24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  <c:pt idx="11">
                  <c:v>42583</c:v>
                </c:pt>
                <c:pt idx="12">
                  <c:v>42614</c:v>
                </c:pt>
                <c:pt idx="13">
                  <c:v>42644</c:v>
                </c:pt>
                <c:pt idx="14">
                  <c:v>42675</c:v>
                </c:pt>
                <c:pt idx="15">
                  <c:v>42705</c:v>
                </c:pt>
                <c:pt idx="16">
                  <c:v>42736</c:v>
                </c:pt>
                <c:pt idx="17">
                  <c:v>42767</c:v>
                </c:pt>
                <c:pt idx="18">
                  <c:v>42795</c:v>
                </c:pt>
                <c:pt idx="19">
                  <c:v>42826</c:v>
                </c:pt>
                <c:pt idx="20">
                  <c:v>42856</c:v>
                </c:pt>
                <c:pt idx="21">
                  <c:v>42887</c:v>
                </c:pt>
                <c:pt idx="22">
                  <c:v>42917</c:v>
                </c:pt>
                <c:pt idx="23">
                  <c:v>42948</c:v>
                </c:pt>
              </c:numCache>
            </c:numRef>
          </c:cat>
          <c:val>
            <c:numRef>
              <c:f>Sheet4!$B$2:$B$25</c:f>
              <c:numCache>
                <c:formatCode>_(* #,##0_);_(* \(#,##0\);_(* "-"??_);_(@_)</c:formatCode>
                <c:ptCount val="24"/>
                <c:pt idx="0">
                  <c:v>1770</c:v>
                </c:pt>
                <c:pt idx="1">
                  <c:v>3088</c:v>
                </c:pt>
                <c:pt idx="2">
                  <c:v>3381</c:v>
                </c:pt>
                <c:pt idx="3">
                  <c:v>4535</c:v>
                </c:pt>
                <c:pt idx="4">
                  <c:v>2513</c:v>
                </c:pt>
                <c:pt idx="5">
                  <c:v>2856</c:v>
                </c:pt>
                <c:pt idx="6">
                  <c:v>7105</c:v>
                </c:pt>
                <c:pt idx="7">
                  <c:v>5283</c:v>
                </c:pt>
                <c:pt idx="8">
                  <c:v>8252</c:v>
                </c:pt>
                <c:pt idx="9">
                  <c:v>9794</c:v>
                </c:pt>
                <c:pt idx="10">
                  <c:v>8276</c:v>
                </c:pt>
                <c:pt idx="11">
                  <c:v>10659</c:v>
                </c:pt>
                <c:pt idx="12">
                  <c:v>11998</c:v>
                </c:pt>
                <c:pt idx="13">
                  <c:v>12698</c:v>
                </c:pt>
                <c:pt idx="14">
                  <c:v>15188</c:v>
                </c:pt>
                <c:pt idx="15">
                  <c:v>12425</c:v>
                </c:pt>
                <c:pt idx="16">
                  <c:v>7711</c:v>
                </c:pt>
                <c:pt idx="17">
                  <c:v>10465</c:v>
                </c:pt>
                <c:pt idx="18">
                  <c:v>10776</c:v>
                </c:pt>
                <c:pt idx="19">
                  <c:v>7485</c:v>
                </c:pt>
                <c:pt idx="20">
                  <c:v>11776</c:v>
                </c:pt>
                <c:pt idx="21">
                  <c:v>14559</c:v>
                </c:pt>
                <c:pt idx="22">
                  <c:v>4228</c:v>
                </c:pt>
                <c:pt idx="23">
                  <c:v>9647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8E-4172-A614-53CA4C5D2BBA}"/>
            </c:ext>
          </c:extLst>
        </c:ser>
        <c:ser>
          <c:idx val="1"/>
          <c:order val="1"/>
          <c:tx>
            <c:strRef>
              <c:f>Sheet4!$C$1</c:f>
              <c:strCache>
                <c:ptCount val="1"/>
                <c:pt idx="0">
                  <c:v> CoB Inv (All) 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Sheet4!$A$2:$A$25</c:f>
              <c:numCache>
                <c:formatCode>mmm\-yy</c:formatCode>
                <c:ptCount val="24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  <c:pt idx="11">
                  <c:v>42583</c:v>
                </c:pt>
                <c:pt idx="12">
                  <c:v>42614</c:v>
                </c:pt>
                <c:pt idx="13">
                  <c:v>42644</c:v>
                </c:pt>
                <c:pt idx="14">
                  <c:v>42675</c:v>
                </c:pt>
                <c:pt idx="15">
                  <c:v>42705</c:v>
                </c:pt>
                <c:pt idx="16">
                  <c:v>42736</c:v>
                </c:pt>
                <c:pt idx="17">
                  <c:v>42767</c:v>
                </c:pt>
                <c:pt idx="18">
                  <c:v>42795</c:v>
                </c:pt>
                <c:pt idx="19">
                  <c:v>42826</c:v>
                </c:pt>
                <c:pt idx="20">
                  <c:v>42856</c:v>
                </c:pt>
                <c:pt idx="21">
                  <c:v>42887</c:v>
                </c:pt>
                <c:pt idx="22">
                  <c:v>42917</c:v>
                </c:pt>
                <c:pt idx="23">
                  <c:v>42948</c:v>
                </c:pt>
              </c:numCache>
            </c:numRef>
          </c:cat>
          <c:val>
            <c:numRef>
              <c:f>Sheet4!$C$2:$C$25</c:f>
              <c:numCache>
                <c:formatCode>_(* #,##0_);_(* \(#,##0\);_(* "-"??_);_(@_)</c:formatCode>
                <c:ptCount val="24"/>
                <c:pt idx="0">
                  <c:v>29302</c:v>
                </c:pt>
                <c:pt idx="1">
                  <c:v>29102</c:v>
                </c:pt>
                <c:pt idx="2">
                  <c:v>28221</c:v>
                </c:pt>
                <c:pt idx="3">
                  <c:v>29312</c:v>
                </c:pt>
                <c:pt idx="4">
                  <c:v>31137</c:v>
                </c:pt>
                <c:pt idx="5">
                  <c:v>32428</c:v>
                </c:pt>
                <c:pt idx="6">
                  <c:v>35691</c:v>
                </c:pt>
                <c:pt idx="7">
                  <c:v>31635</c:v>
                </c:pt>
                <c:pt idx="8">
                  <c:v>32833</c:v>
                </c:pt>
                <c:pt idx="9">
                  <c:v>32514</c:v>
                </c:pt>
                <c:pt idx="10">
                  <c:v>33411</c:v>
                </c:pt>
                <c:pt idx="11">
                  <c:v>44544</c:v>
                </c:pt>
                <c:pt idx="12">
                  <c:v>64009</c:v>
                </c:pt>
                <c:pt idx="13">
                  <c:v>74820</c:v>
                </c:pt>
                <c:pt idx="14">
                  <c:v>87982</c:v>
                </c:pt>
                <c:pt idx="15">
                  <c:v>99913</c:v>
                </c:pt>
                <c:pt idx="16">
                  <c:v>100065</c:v>
                </c:pt>
                <c:pt idx="17">
                  <c:v>98230</c:v>
                </c:pt>
                <c:pt idx="18">
                  <c:v>99866</c:v>
                </c:pt>
                <c:pt idx="19">
                  <c:v>93258</c:v>
                </c:pt>
                <c:pt idx="20">
                  <c:v>97750</c:v>
                </c:pt>
                <c:pt idx="21">
                  <c:v>110207</c:v>
                </c:pt>
                <c:pt idx="22">
                  <c:v>118207</c:v>
                </c:pt>
                <c:pt idx="23">
                  <c:v>132712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8E-4172-A614-53CA4C5D2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535152"/>
        <c:axId val="419535808"/>
      </c:areaChart>
      <c:dateAx>
        <c:axId val="41953515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35808"/>
        <c:crosses val="autoZero"/>
        <c:auto val="1"/>
        <c:lblOffset val="100"/>
        <c:baseTimeUnit val="months"/>
      </c:dateAx>
      <c:valAx>
        <c:axId val="41953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3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QAM</a:t>
            </a:r>
            <a:r>
              <a:rPr lang="en-US" baseline="0"/>
              <a:t> Ch21 CoB Inventory vs Consumption Growth</a:t>
            </a:r>
            <a:endParaRPr lang="en-US"/>
          </a:p>
        </c:rich>
      </c:tx>
      <c:layout>
        <c:manualLayout>
          <c:xMode val="edge"/>
          <c:yMode val="edge"/>
          <c:x val="0.27877771047849786"/>
          <c:y val="9.861932938856015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947439262399891E-2"/>
          <c:y val="0.11878698224852073"/>
          <c:w val="0.88497126320748365"/>
          <c:h val="0.68521680721862421"/>
        </c:manualLayout>
      </c:layout>
      <c:areaChart>
        <c:grouping val="stacked"/>
        <c:varyColors val="0"/>
        <c:ser>
          <c:idx val="0"/>
          <c:order val="0"/>
          <c:tx>
            <c:strRef>
              <c:f>Sheet4!$D$1</c:f>
              <c:strCache>
                <c:ptCount val="1"/>
                <c:pt idx="0">
                  <c:v> Cons (21) 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Sheet4!$A$2:$A$25</c:f>
              <c:numCache>
                <c:formatCode>mmm\-yy</c:formatCode>
                <c:ptCount val="24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  <c:pt idx="11">
                  <c:v>42583</c:v>
                </c:pt>
                <c:pt idx="12">
                  <c:v>42614</c:v>
                </c:pt>
                <c:pt idx="13">
                  <c:v>42644</c:v>
                </c:pt>
                <c:pt idx="14">
                  <c:v>42675</c:v>
                </c:pt>
                <c:pt idx="15">
                  <c:v>42705</c:v>
                </c:pt>
                <c:pt idx="16">
                  <c:v>42736</c:v>
                </c:pt>
                <c:pt idx="17">
                  <c:v>42767</c:v>
                </c:pt>
                <c:pt idx="18">
                  <c:v>42795</c:v>
                </c:pt>
                <c:pt idx="19">
                  <c:v>42826</c:v>
                </c:pt>
                <c:pt idx="20">
                  <c:v>42856</c:v>
                </c:pt>
                <c:pt idx="21">
                  <c:v>42887</c:v>
                </c:pt>
                <c:pt idx="22">
                  <c:v>42917</c:v>
                </c:pt>
                <c:pt idx="23">
                  <c:v>42948</c:v>
                </c:pt>
              </c:numCache>
            </c:numRef>
          </c:cat>
          <c:val>
            <c:numRef>
              <c:f>Sheet4!$D$2:$D$25</c:f>
              <c:numCache>
                <c:formatCode>_(* #,##0_);_(* \(#,##0\);_(* "-"??_);_(@_)</c:formatCode>
                <c:ptCount val="24"/>
                <c:pt idx="0">
                  <c:v>267</c:v>
                </c:pt>
                <c:pt idx="1">
                  <c:v>563</c:v>
                </c:pt>
                <c:pt idx="2">
                  <c:v>595</c:v>
                </c:pt>
                <c:pt idx="3">
                  <c:v>244</c:v>
                </c:pt>
                <c:pt idx="4">
                  <c:v>164</c:v>
                </c:pt>
                <c:pt idx="5">
                  <c:v>1001</c:v>
                </c:pt>
                <c:pt idx="6">
                  <c:v>505</c:v>
                </c:pt>
                <c:pt idx="7">
                  <c:v>241</c:v>
                </c:pt>
                <c:pt idx="8">
                  <c:v>291</c:v>
                </c:pt>
                <c:pt idx="9">
                  <c:v>931</c:v>
                </c:pt>
                <c:pt idx="10">
                  <c:v>2189</c:v>
                </c:pt>
                <c:pt idx="11">
                  <c:v>1109</c:v>
                </c:pt>
                <c:pt idx="12">
                  <c:v>1993</c:v>
                </c:pt>
                <c:pt idx="13">
                  <c:v>2798</c:v>
                </c:pt>
                <c:pt idx="14">
                  <c:v>1737</c:v>
                </c:pt>
                <c:pt idx="15">
                  <c:v>1249</c:v>
                </c:pt>
                <c:pt idx="16">
                  <c:v>624</c:v>
                </c:pt>
                <c:pt idx="17">
                  <c:v>894</c:v>
                </c:pt>
                <c:pt idx="18">
                  <c:v>1800</c:v>
                </c:pt>
                <c:pt idx="19">
                  <c:v>711</c:v>
                </c:pt>
                <c:pt idx="20">
                  <c:v>2098</c:v>
                </c:pt>
                <c:pt idx="21">
                  <c:v>2433</c:v>
                </c:pt>
                <c:pt idx="22">
                  <c:v>764</c:v>
                </c:pt>
                <c:pt idx="2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2-4FE4-B6C4-63665627754D}"/>
            </c:ext>
          </c:extLst>
        </c:ser>
        <c:ser>
          <c:idx val="1"/>
          <c:order val="1"/>
          <c:tx>
            <c:strRef>
              <c:f>Sheet4!$E$1</c:f>
              <c:strCache>
                <c:ptCount val="1"/>
                <c:pt idx="0">
                  <c:v> Cob Inv (21) 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Sheet4!$A$2:$A$25</c:f>
              <c:numCache>
                <c:formatCode>mmm\-yy</c:formatCode>
                <c:ptCount val="24"/>
                <c:pt idx="0">
                  <c:v>42248</c:v>
                </c:pt>
                <c:pt idx="1">
                  <c:v>42278</c:v>
                </c:pt>
                <c:pt idx="2">
                  <c:v>42309</c:v>
                </c:pt>
                <c:pt idx="3">
                  <c:v>42339</c:v>
                </c:pt>
                <c:pt idx="4">
                  <c:v>42370</c:v>
                </c:pt>
                <c:pt idx="5">
                  <c:v>42401</c:v>
                </c:pt>
                <c:pt idx="6">
                  <c:v>42430</c:v>
                </c:pt>
                <c:pt idx="7">
                  <c:v>42461</c:v>
                </c:pt>
                <c:pt idx="8">
                  <c:v>42491</c:v>
                </c:pt>
                <c:pt idx="9">
                  <c:v>42522</c:v>
                </c:pt>
                <c:pt idx="10">
                  <c:v>42552</c:v>
                </c:pt>
                <c:pt idx="11">
                  <c:v>42583</c:v>
                </c:pt>
                <c:pt idx="12">
                  <c:v>42614</c:v>
                </c:pt>
                <c:pt idx="13">
                  <c:v>42644</c:v>
                </c:pt>
                <c:pt idx="14">
                  <c:v>42675</c:v>
                </c:pt>
                <c:pt idx="15">
                  <c:v>42705</c:v>
                </c:pt>
                <c:pt idx="16">
                  <c:v>42736</c:v>
                </c:pt>
                <c:pt idx="17">
                  <c:v>42767</c:v>
                </c:pt>
                <c:pt idx="18">
                  <c:v>42795</c:v>
                </c:pt>
                <c:pt idx="19">
                  <c:v>42826</c:v>
                </c:pt>
                <c:pt idx="20">
                  <c:v>42856</c:v>
                </c:pt>
                <c:pt idx="21">
                  <c:v>42887</c:v>
                </c:pt>
                <c:pt idx="22">
                  <c:v>42917</c:v>
                </c:pt>
                <c:pt idx="23">
                  <c:v>42948</c:v>
                </c:pt>
              </c:numCache>
            </c:numRef>
          </c:cat>
          <c:val>
            <c:numRef>
              <c:f>Sheet4!$E$2:$E$25</c:f>
              <c:numCache>
                <c:formatCode>_(* #,##0_);_(* \(#,##0\);_(* "-"??_);_(@_)</c:formatCode>
                <c:ptCount val="24"/>
                <c:pt idx="0">
                  <c:v>1375</c:v>
                </c:pt>
                <c:pt idx="1">
                  <c:v>1190</c:v>
                </c:pt>
                <c:pt idx="2">
                  <c:v>1410</c:v>
                </c:pt>
                <c:pt idx="3">
                  <c:v>1910</c:v>
                </c:pt>
                <c:pt idx="4">
                  <c:v>1323</c:v>
                </c:pt>
                <c:pt idx="5">
                  <c:v>1131</c:v>
                </c:pt>
                <c:pt idx="6">
                  <c:v>1065</c:v>
                </c:pt>
                <c:pt idx="7">
                  <c:v>881</c:v>
                </c:pt>
                <c:pt idx="8">
                  <c:v>916</c:v>
                </c:pt>
                <c:pt idx="9">
                  <c:v>1148</c:v>
                </c:pt>
                <c:pt idx="10">
                  <c:v>1601</c:v>
                </c:pt>
                <c:pt idx="11">
                  <c:v>3846</c:v>
                </c:pt>
                <c:pt idx="12">
                  <c:v>3846</c:v>
                </c:pt>
                <c:pt idx="13">
                  <c:v>4736</c:v>
                </c:pt>
                <c:pt idx="14">
                  <c:v>5531</c:v>
                </c:pt>
                <c:pt idx="15">
                  <c:v>5762</c:v>
                </c:pt>
                <c:pt idx="16">
                  <c:v>6085</c:v>
                </c:pt>
                <c:pt idx="17">
                  <c:v>5001</c:v>
                </c:pt>
                <c:pt idx="18">
                  <c:v>5024</c:v>
                </c:pt>
                <c:pt idx="19">
                  <c:v>4408</c:v>
                </c:pt>
                <c:pt idx="20">
                  <c:v>4084</c:v>
                </c:pt>
                <c:pt idx="21">
                  <c:v>6635</c:v>
                </c:pt>
                <c:pt idx="22">
                  <c:v>12120</c:v>
                </c:pt>
                <c:pt idx="23">
                  <c:v>13095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2-4FE4-B6C4-636656277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535152"/>
        <c:axId val="419535808"/>
      </c:areaChart>
      <c:dateAx>
        <c:axId val="419535152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35808"/>
        <c:crosses val="autoZero"/>
        <c:auto val="1"/>
        <c:lblOffset val="100"/>
        <c:baseTimeUnit val="months"/>
      </c:dateAx>
      <c:valAx>
        <c:axId val="41953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3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160020</xdr:colOff>
      <xdr:row>0</xdr:row>
      <xdr:rowOff>68580</xdr:rowOff>
    </xdr:from>
    <xdr:to>
      <xdr:col>22</xdr:col>
      <xdr:colOff>601980</xdr:colOff>
      <xdr:row>19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ECB91E-07E3-4A75-9183-629340073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175260</xdr:colOff>
      <xdr:row>20</xdr:row>
      <xdr:rowOff>7620</xdr:rowOff>
    </xdr:from>
    <xdr:to>
      <xdr:col>23</xdr:col>
      <xdr:colOff>7620</xdr:colOff>
      <xdr:row>39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8C84AC-86F9-49E9-8062-D96A2C732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160020</xdr:colOff>
      <xdr:row>1</xdr:row>
      <xdr:rowOff>60960</xdr:rowOff>
    </xdr:from>
    <xdr:to>
      <xdr:col>17</xdr:col>
      <xdr:colOff>274320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BECB08-5AFD-4EB8-881C-D79D9415E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152400</xdr:colOff>
      <xdr:row>16</xdr:row>
      <xdr:rowOff>38100</xdr:rowOff>
    </xdr:from>
    <xdr:to>
      <xdr:col>17</xdr:col>
      <xdr:colOff>266700</xdr:colOff>
      <xdr:row>30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AC6EC6-61B2-4A7E-BBD3-1D227125F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0B68-DA32-4E37-8104-977C4FFCB443}">
  <dimension ref="A1:EL50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N11" sqref="EN11"/>
    </sheetView>
  </sheetViews>
  <sheetFormatPr defaultRowHeight="10.199999999999999" x14ac:dyDescent="0.2"/>
  <cols>
    <col min="1" max="1" width="8" style="11" bestFit="1" customWidth="1"/>
    <col min="2" max="3" width="7.109375" style="11" hidden="1" customWidth="1"/>
    <col min="4" max="4" width="7.33203125" style="11" hidden="1" customWidth="1"/>
    <col min="5" max="5" width="7.21875" style="11" hidden="1" customWidth="1"/>
    <col min="6" max="6" width="7" style="11" hidden="1" customWidth="1"/>
    <col min="7" max="7" width="7.109375" style="11" hidden="1" customWidth="1"/>
    <col min="8" max="8" width="7.5546875" style="11" hidden="1" customWidth="1"/>
    <col min="9" max="9" width="7.109375" style="11" hidden="1" customWidth="1"/>
    <col min="10" max="10" width="7.6640625" style="11" hidden="1" customWidth="1"/>
    <col min="11" max="11" width="7" style="11" hidden="1" customWidth="1"/>
    <col min="12" max="12" width="6.6640625" style="11" hidden="1" customWidth="1"/>
    <col min="13" max="13" width="7.21875" style="11" hidden="1" customWidth="1"/>
    <col min="14" max="15" width="7.109375" style="11" hidden="1" customWidth="1"/>
    <col min="16" max="16" width="7.33203125" style="11" hidden="1" customWidth="1"/>
    <col min="17" max="17" width="7.21875" style="11" hidden="1" customWidth="1"/>
    <col min="18" max="18" width="7" style="11" hidden="1" customWidth="1"/>
    <col min="19" max="19" width="7.109375" style="11" hidden="1" customWidth="1"/>
    <col min="20" max="20" width="7.5546875" style="11" hidden="1" customWidth="1"/>
    <col min="21" max="21" width="7.109375" style="11" hidden="1" customWidth="1"/>
    <col min="22" max="22" width="7.6640625" style="11" hidden="1" customWidth="1"/>
    <col min="23" max="23" width="7" style="11" hidden="1" customWidth="1"/>
    <col min="24" max="24" width="6.6640625" style="11" hidden="1" customWidth="1"/>
    <col min="25" max="25" width="7.21875" style="11" bestFit="1" customWidth="1"/>
    <col min="26" max="26" width="8.33203125" style="11" bestFit="1" customWidth="1"/>
    <col min="27" max="27" width="6.5546875" style="11" bestFit="1" customWidth="1"/>
    <col min="28" max="28" width="8.21875" style="11" bestFit="1" customWidth="1"/>
    <col min="29" max="29" width="8.33203125" style="11" bestFit="1" customWidth="1"/>
    <col min="30" max="31" width="7.109375" style="11" hidden="1" customWidth="1"/>
    <col min="32" max="32" width="7.33203125" style="11" hidden="1" customWidth="1"/>
    <col min="33" max="33" width="7.21875" style="11" hidden="1" customWidth="1"/>
    <col min="34" max="34" width="7" style="11" hidden="1" customWidth="1"/>
    <col min="35" max="35" width="7.109375" style="11" hidden="1" customWidth="1"/>
    <col min="36" max="36" width="7.5546875" style="11" hidden="1" customWidth="1"/>
    <col min="37" max="37" width="7.109375" style="11" hidden="1" customWidth="1"/>
    <col min="38" max="38" width="7.6640625" style="11" hidden="1" customWidth="1"/>
    <col min="39" max="39" width="7" style="11" hidden="1" customWidth="1"/>
    <col min="40" max="40" width="6.6640625" style="11" hidden="1" customWidth="1"/>
    <col min="41" max="41" width="7.21875" style="11" hidden="1" customWidth="1"/>
    <col min="42" max="43" width="7.109375" style="11" hidden="1" customWidth="1"/>
    <col min="44" max="44" width="7.33203125" style="11" hidden="1" customWidth="1"/>
    <col min="45" max="45" width="7.21875" style="11" hidden="1" customWidth="1"/>
    <col min="46" max="46" width="7" style="11" hidden="1" customWidth="1"/>
    <col min="47" max="47" width="7.109375" style="11" hidden="1" customWidth="1"/>
    <col min="48" max="48" width="7.5546875" style="11" hidden="1" customWidth="1"/>
    <col min="49" max="49" width="7.109375" style="11" hidden="1" customWidth="1"/>
    <col min="50" max="50" width="7.6640625" style="11" hidden="1" customWidth="1"/>
    <col min="51" max="51" width="7" style="11" hidden="1" customWidth="1"/>
    <col min="52" max="52" width="6.6640625" style="11" hidden="1" customWidth="1"/>
    <col min="53" max="53" width="7.21875" style="11" bestFit="1" customWidth="1"/>
    <col min="54" max="54" width="8.33203125" style="11" bestFit="1" customWidth="1"/>
    <col min="55" max="55" width="6.5546875" style="11" bestFit="1" customWidth="1"/>
    <col min="56" max="56" width="8.21875" style="11" bestFit="1" customWidth="1"/>
    <col min="57" max="57" width="8.33203125" style="11" bestFit="1" customWidth="1"/>
    <col min="58" max="79" width="8.109375" style="11" hidden="1" customWidth="1"/>
    <col min="80" max="82" width="8.109375" style="11" bestFit="1" customWidth="1"/>
    <col min="83" max="83" width="7.77734375" style="11" bestFit="1" customWidth="1"/>
    <col min="84" max="84" width="7.5546875" style="11" bestFit="1" customWidth="1"/>
    <col min="85" max="85" width="8.33203125" style="11" bestFit="1" customWidth="1"/>
    <col min="86" max="86" width="7.109375" style="11" bestFit="1" customWidth="1"/>
    <col min="87" max="87" width="6.88671875" style="11" bestFit="1" customWidth="1"/>
    <col min="88" max="88" width="7.44140625" style="11" bestFit="1" customWidth="1"/>
    <col min="89" max="89" width="1.77734375" style="11" hidden="1" customWidth="1"/>
    <col min="90" max="90" width="9.77734375" style="11" bestFit="1" customWidth="1"/>
    <col min="91" max="91" width="7.44140625" style="11" bestFit="1" customWidth="1"/>
    <col min="92" max="92" width="10.5546875" style="11" bestFit="1" customWidth="1"/>
    <col min="93" max="93" width="8.33203125" style="11" bestFit="1" customWidth="1"/>
    <col min="94" max="94" width="10.5546875" style="11" bestFit="1" customWidth="1"/>
    <col min="95" max="95" width="10.21875" style="11" bestFit="1" customWidth="1"/>
    <col min="96" max="96" width="9.6640625" style="11" bestFit="1" customWidth="1"/>
    <col min="97" max="97" width="11.44140625" style="11" bestFit="1" customWidth="1"/>
    <col min="98" max="98" width="1.77734375" style="11" customWidth="1"/>
    <col min="99" max="99" width="7.109375" style="11" bestFit="1" customWidth="1"/>
    <col min="100" max="100" width="7" style="11" bestFit="1" customWidth="1"/>
    <col min="101" max="101" width="8.33203125" style="11" bestFit="1" customWidth="1"/>
    <col min="102" max="102" width="6.6640625" style="11" bestFit="1" customWidth="1"/>
    <col min="103" max="103" width="8.5546875" style="11" bestFit="1" customWidth="1"/>
    <col min="104" max="104" width="8" style="11" bestFit="1" customWidth="1"/>
    <col min="105" max="105" width="7.44140625" style="11" bestFit="1" customWidth="1"/>
    <col min="106" max="106" width="9.21875" style="11" bestFit="1" customWidth="1"/>
    <col min="107" max="107" width="2.77734375" style="11" customWidth="1"/>
    <col min="108" max="108" width="10.6640625" style="11" bestFit="1" customWidth="1"/>
    <col min="109" max="109" width="8.6640625" style="11" bestFit="1" customWidth="1"/>
    <col min="110" max="110" width="7.77734375" style="11" bestFit="1" customWidth="1"/>
    <col min="111" max="111" width="8.5546875" style="11" bestFit="1" customWidth="1"/>
    <col min="112" max="112" width="6.6640625" style="11" bestFit="1" customWidth="1"/>
    <col min="113" max="113" width="8.5546875" style="11" bestFit="1" customWidth="1"/>
    <col min="114" max="114" width="8" style="11" bestFit="1" customWidth="1"/>
    <col min="115" max="115" width="8.5546875" style="11" bestFit="1" customWidth="1"/>
    <col min="116" max="116" width="9.21875" style="11" bestFit="1" customWidth="1"/>
    <col min="117" max="117" width="2.77734375" style="11" customWidth="1"/>
    <col min="118" max="119" width="7.109375" style="11" hidden="1" customWidth="1"/>
    <col min="120" max="120" width="7.33203125" style="11" hidden="1" customWidth="1"/>
    <col min="121" max="121" width="7.21875" style="11" hidden="1" customWidth="1"/>
    <col min="122" max="122" width="7" style="11" hidden="1" customWidth="1"/>
    <col min="123" max="123" width="7.109375" style="11" hidden="1" customWidth="1"/>
    <col min="124" max="124" width="7.5546875" style="11" hidden="1" customWidth="1"/>
    <col min="125" max="125" width="7.109375" style="11" hidden="1" customWidth="1"/>
    <col min="126" max="126" width="7.6640625" style="11" hidden="1" customWidth="1"/>
    <col min="127" max="127" width="7" style="11" hidden="1" customWidth="1"/>
    <col min="128" max="128" width="6.6640625" style="11" hidden="1" customWidth="1"/>
    <col min="129" max="129" width="7.21875" style="11" hidden="1" customWidth="1"/>
    <col min="130" max="131" width="7.109375" style="11" hidden="1" customWidth="1"/>
    <col min="132" max="132" width="7.33203125" style="11" hidden="1" customWidth="1"/>
    <col min="133" max="133" width="7.21875" style="11" hidden="1" customWidth="1"/>
    <col min="134" max="134" width="7" style="11" hidden="1" customWidth="1"/>
    <col min="135" max="135" width="7.109375" style="11" hidden="1" customWidth="1"/>
    <col min="136" max="136" width="7.5546875" style="11" hidden="1" customWidth="1"/>
    <col min="137" max="137" width="7.109375" style="11" hidden="1" customWidth="1"/>
    <col min="138" max="138" width="7.6640625" style="11" hidden="1" customWidth="1"/>
    <col min="139" max="139" width="7" style="11" bestFit="1" customWidth="1"/>
    <col min="140" max="140" width="6.6640625" style="11" bestFit="1" customWidth="1"/>
    <col min="141" max="141" width="7.21875" style="11" bestFit="1" customWidth="1"/>
    <col min="142" max="142" width="7.77734375" style="11" bestFit="1" customWidth="1"/>
    <col min="143" max="16384" width="8.88671875" style="11"/>
  </cols>
  <sheetData>
    <row r="1" spans="1:142" x14ac:dyDescent="0.2">
      <c r="A1" s="10"/>
      <c r="B1" s="69" t="s">
        <v>85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1"/>
      <c r="AD1" s="75" t="s">
        <v>49</v>
      </c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  <c r="BF1" s="72" t="s">
        <v>48</v>
      </c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L1" s="73" t="s">
        <v>46</v>
      </c>
      <c r="CM1" s="73"/>
      <c r="CN1" s="73"/>
      <c r="CO1" s="73"/>
      <c r="CP1" s="73"/>
      <c r="CQ1" s="73"/>
      <c r="CR1" s="73"/>
      <c r="CS1" s="74"/>
      <c r="CU1" s="67" t="s">
        <v>52</v>
      </c>
      <c r="CV1" s="67"/>
      <c r="CW1" s="67"/>
      <c r="CX1" s="67"/>
      <c r="CY1" s="67"/>
      <c r="CZ1" s="67"/>
      <c r="DA1" s="67"/>
      <c r="DB1" s="68"/>
      <c r="DD1" s="67" t="s">
        <v>57</v>
      </c>
      <c r="DE1" s="67"/>
      <c r="DF1" s="67"/>
      <c r="DG1" s="67"/>
      <c r="DH1" s="67"/>
      <c r="DI1" s="67"/>
      <c r="DJ1" s="67"/>
      <c r="DK1" s="67"/>
      <c r="DL1" s="68"/>
      <c r="DN1" s="67" t="s">
        <v>86</v>
      </c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  <c r="EA1" s="67"/>
      <c r="EB1" s="67"/>
      <c r="EC1" s="67"/>
      <c r="ED1" s="67"/>
      <c r="EE1" s="67"/>
      <c r="EF1" s="67"/>
      <c r="EG1" s="67"/>
      <c r="EH1" s="67"/>
      <c r="EI1" s="67"/>
      <c r="EJ1" s="67"/>
      <c r="EK1" s="67"/>
      <c r="EL1" s="67"/>
    </row>
    <row r="2" spans="1:142" x14ac:dyDescent="0.2">
      <c r="A2" s="12" t="s">
        <v>27</v>
      </c>
      <c r="B2" s="13">
        <f t="shared" ref="B2:Y2" si="0">SUM(B4:B51)</f>
        <v>14617</v>
      </c>
      <c r="C2" s="13">
        <f t="shared" si="0"/>
        <v>13997</v>
      </c>
      <c r="D2" s="13">
        <f t="shared" si="0"/>
        <v>13545</v>
      </c>
      <c r="E2" s="13">
        <f t="shared" si="0"/>
        <v>14179</v>
      </c>
      <c r="F2" s="13">
        <f t="shared" si="0"/>
        <v>13159</v>
      </c>
      <c r="G2" s="13">
        <f t="shared" si="0"/>
        <v>13211</v>
      </c>
      <c r="H2" s="13">
        <f t="shared" si="0"/>
        <v>10867</v>
      </c>
      <c r="I2" s="13">
        <f t="shared" si="0"/>
        <v>11279</v>
      </c>
      <c r="J2" s="13">
        <f t="shared" si="0"/>
        <v>11920</v>
      </c>
      <c r="K2" s="13">
        <f t="shared" si="0"/>
        <v>10719</v>
      </c>
      <c r="L2" s="13">
        <f t="shared" si="0"/>
        <v>13048</v>
      </c>
      <c r="M2" s="13">
        <f t="shared" si="0"/>
        <v>16205</v>
      </c>
      <c r="N2" s="13">
        <f t="shared" si="0"/>
        <v>16493</v>
      </c>
      <c r="O2" s="13">
        <f t="shared" si="0"/>
        <v>16435</v>
      </c>
      <c r="P2" s="13">
        <f t="shared" si="0"/>
        <v>16576</v>
      </c>
      <c r="Q2" s="13">
        <f t="shared" si="0"/>
        <v>22235</v>
      </c>
      <c r="R2" s="13">
        <f t="shared" si="0"/>
        <v>25425</v>
      </c>
      <c r="S2" s="13">
        <f t="shared" si="0"/>
        <v>24105</v>
      </c>
      <c r="T2" s="13">
        <f t="shared" si="0"/>
        <v>21264</v>
      </c>
      <c r="U2" s="13">
        <f t="shared" si="0"/>
        <v>23006</v>
      </c>
      <c r="V2" s="13">
        <f t="shared" si="0"/>
        <v>24614</v>
      </c>
      <c r="W2" s="13">
        <f t="shared" si="0"/>
        <v>24257</v>
      </c>
      <c r="X2" s="13">
        <f t="shared" si="0"/>
        <v>33804</v>
      </c>
      <c r="Y2" s="13">
        <f t="shared" si="0"/>
        <v>31489</v>
      </c>
      <c r="Z2" s="14">
        <f>AVERAGE(B2:Y2)</f>
        <v>18185.375</v>
      </c>
      <c r="AA2" s="15">
        <f>_xlfn.STDEV.P(B2:Y2)</f>
        <v>6418.2334395357575</v>
      </c>
      <c r="AB2" s="13">
        <f>Y2-Z2</f>
        <v>13303.625</v>
      </c>
      <c r="AC2" s="16">
        <f>Y2/Z2</f>
        <v>1.7315562643057951</v>
      </c>
      <c r="AD2" s="14">
        <f>SUM(AD4:AD51)</f>
        <v>29302</v>
      </c>
      <c r="AE2" s="17">
        <f>SUM(AE4:AE51)</f>
        <v>29102</v>
      </c>
      <c r="AF2" s="17">
        <f t="shared" ref="AF2:BA2" si="1">SUM(AF4:AF51)</f>
        <v>28221</v>
      </c>
      <c r="AG2" s="17">
        <f t="shared" si="1"/>
        <v>29312</v>
      </c>
      <c r="AH2" s="17">
        <f t="shared" si="1"/>
        <v>31137</v>
      </c>
      <c r="AI2" s="17">
        <f t="shared" si="1"/>
        <v>32428</v>
      </c>
      <c r="AJ2" s="17">
        <f t="shared" si="1"/>
        <v>35691</v>
      </c>
      <c r="AK2" s="17">
        <f t="shared" si="1"/>
        <v>31635</v>
      </c>
      <c r="AL2" s="17">
        <f t="shared" si="1"/>
        <v>32833</v>
      </c>
      <c r="AM2" s="17">
        <f t="shared" si="1"/>
        <v>32514</v>
      </c>
      <c r="AN2" s="17">
        <f t="shared" si="1"/>
        <v>33411</v>
      </c>
      <c r="AO2" s="17">
        <f t="shared" si="1"/>
        <v>44544</v>
      </c>
      <c r="AP2" s="17">
        <f t="shared" si="1"/>
        <v>64009</v>
      </c>
      <c r="AQ2" s="17">
        <f t="shared" si="1"/>
        <v>74820</v>
      </c>
      <c r="AR2" s="17">
        <f t="shared" si="1"/>
        <v>87982</v>
      </c>
      <c r="AS2" s="17">
        <f t="shared" si="1"/>
        <v>99913</v>
      </c>
      <c r="AT2" s="17">
        <f t="shared" si="1"/>
        <v>100065</v>
      </c>
      <c r="AU2" s="17">
        <f t="shared" si="1"/>
        <v>98230</v>
      </c>
      <c r="AV2" s="17">
        <f t="shared" si="1"/>
        <v>99866</v>
      </c>
      <c r="AW2" s="17">
        <f t="shared" si="1"/>
        <v>93258</v>
      </c>
      <c r="AX2" s="17">
        <f t="shared" si="1"/>
        <v>97750</v>
      </c>
      <c r="AY2" s="17">
        <f t="shared" si="1"/>
        <v>110207</v>
      </c>
      <c r="AZ2" s="17">
        <f t="shared" si="1"/>
        <v>118207</v>
      </c>
      <c r="BA2" s="18">
        <f t="shared" si="1"/>
        <v>132712</v>
      </c>
      <c r="BB2" s="17">
        <f>AVERAGE(AD2:BA2)</f>
        <v>65297.875</v>
      </c>
      <c r="BC2" s="17">
        <f>_xlfn.STDEV.P(AD2:BA2)</f>
        <v>35117.682539465903</v>
      </c>
      <c r="BD2" s="17">
        <f>BA2-BB2</f>
        <v>67414.125</v>
      </c>
      <c r="BE2" s="19">
        <f>BA2/BB2</f>
        <v>2.0324091710488283</v>
      </c>
      <c r="BF2" s="13">
        <v>1770</v>
      </c>
      <c r="BG2" s="13">
        <v>3088</v>
      </c>
      <c r="BH2" s="13">
        <v>3381</v>
      </c>
      <c r="BI2" s="13">
        <v>4535</v>
      </c>
      <c r="BJ2" s="13">
        <v>2513</v>
      </c>
      <c r="BK2" s="13">
        <v>2856</v>
      </c>
      <c r="BL2" s="13">
        <v>7105</v>
      </c>
      <c r="BM2" s="13">
        <v>5283</v>
      </c>
      <c r="BN2" s="13">
        <v>8252</v>
      </c>
      <c r="BO2" s="13">
        <v>9794</v>
      </c>
      <c r="BP2" s="13">
        <v>8276</v>
      </c>
      <c r="BQ2" s="13">
        <v>10659</v>
      </c>
      <c r="BR2" s="13">
        <v>11998</v>
      </c>
      <c r="BS2" s="13">
        <v>12698</v>
      </c>
      <c r="BT2" s="13">
        <v>15188</v>
      </c>
      <c r="BU2" s="13">
        <v>12425</v>
      </c>
      <c r="BV2" s="13">
        <v>7711</v>
      </c>
      <c r="BW2" s="13">
        <v>10465</v>
      </c>
      <c r="BX2" s="13">
        <v>10776</v>
      </c>
      <c r="BY2" s="13">
        <v>7485</v>
      </c>
      <c r="BZ2" s="13">
        <v>11776</v>
      </c>
      <c r="CA2" s="13">
        <v>14559</v>
      </c>
      <c r="CB2" s="13">
        <v>4228</v>
      </c>
      <c r="CC2" s="13">
        <v>9647</v>
      </c>
      <c r="CD2" s="13">
        <v>3791</v>
      </c>
      <c r="CE2" s="20">
        <f>AVERAGE(BF2:CD2)</f>
        <v>8010.36</v>
      </c>
      <c r="CF2" s="21">
        <f>_xlfn.STDEV.P(BF2:CD2)</f>
        <v>3933.5887825750165</v>
      </c>
      <c r="CG2" s="21">
        <f>SUM(CG4:CG51)</f>
        <v>27060</v>
      </c>
      <c r="CH2" s="21">
        <f t="shared" ref="CH2" si="2">AVERAGE(CB2:CD2)</f>
        <v>5888.666666666667</v>
      </c>
      <c r="CI2" s="22">
        <f>_xlfn.STDEV.P(CB2:CD2)</f>
        <v>2663.5245238009147</v>
      </c>
      <c r="CJ2" s="22">
        <f>SUM(CJ4:CJ51)</f>
        <v>17506</v>
      </c>
      <c r="CL2" s="23">
        <f>SUM(BS2:CD2)/Y2</f>
        <v>3.8346406681698371</v>
      </c>
      <c r="CM2" s="23">
        <f>Y2-CG2</f>
        <v>4429</v>
      </c>
      <c r="CN2" s="24">
        <f>SUM(CN4:CN50)</f>
        <v>1413900</v>
      </c>
      <c r="CO2" s="13">
        <f>Y2-CJ2</f>
        <v>13983</v>
      </c>
      <c r="CP2" s="24">
        <f>SUM(CP4:CP50)</f>
        <v>1931700</v>
      </c>
      <c r="CQ2" s="48">
        <f>CE2+2*CF2</f>
        <v>15877.537565150033</v>
      </c>
      <c r="CR2" s="13">
        <f>Y2-CQ2</f>
        <v>15611.462434849967</v>
      </c>
      <c r="CS2" s="24">
        <f>SUM(CS4:CS50)</f>
        <v>1548860.2065658055</v>
      </c>
      <c r="CU2" s="23">
        <f>SUM(BS2:CD2)/(0.8*BA2)</f>
        <v>1.1373217945626619</v>
      </c>
      <c r="CV2" s="23">
        <f>(0.65*AVERAGE(AD2:BA2))-CG2</f>
        <v>15383.618750000001</v>
      </c>
      <c r="CW2" s="24">
        <f>SUM(CW4:CW50)</f>
        <v>366707.66666666669</v>
      </c>
      <c r="CX2" s="13">
        <f>0.8*BA2-CJ2</f>
        <v>88663.6</v>
      </c>
      <c r="CY2" s="24">
        <f>SUM(CY4:CY50)</f>
        <v>1773272</v>
      </c>
      <c r="CZ2" s="13">
        <f>CE2+2*CF2</f>
        <v>15877.537565150033</v>
      </c>
      <c r="DA2" s="13">
        <f>0.8*BA2-CQ2</f>
        <v>90292.06243484997</v>
      </c>
      <c r="DB2" s="24">
        <f>SUM(DB4:DB50)</f>
        <v>1679458.5075838596</v>
      </c>
      <c r="DD2" s="23">
        <f>SUM(BS2:CD2)/(BA2+0.8*Y2)</f>
        <v>0.76470267860309349</v>
      </c>
      <c r="DE2" s="57">
        <f>SUM(DE4:DE50)</f>
        <v>5803140</v>
      </c>
      <c r="DF2" s="23">
        <f>(BA2+0.8*Y2)-CG2</f>
        <v>130843.20000000001</v>
      </c>
      <c r="DG2" s="24">
        <f>SUM(DG4:DG50)</f>
        <v>2616864</v>
      </c>
      <c r="DH2" s="13">
        <f>(BA2+0.8*Y2)-CJ2</f>
        <v>140397.20000000001</v>
      </c>
      <c r="DI2" s="24">
        <f>SUM(DI4:DI50)</f>
        <v>2807944</v>
      </c>
      <c r="DJ2" s="13">
        <f>CH4+2*CI4</f>
        <v>17.918764797988512</v>
      </c>
      <c r="DK2" s="13">
        <f>(BA2+0.8*Y2)-DJ2</f>
        <v>157885.28123520201</v>
      </c>
      <c r="DL2" s="24">
        <f>SUM(DL4:DL50)</f>
        <v>2887280.164762645</v>
      </c>
      <c r="DN2" s="14">
        <f>SUM(DN4:DN51)</f>
        <v>0</v>
      </c>
      <c r="DO2" s="17">
        <f>SUM(DO4:DO51)</f>
        <v>2268</v>
      </c>
      <c r="DP2" s="17">
        <f t="shared" ref="DP2:EK2" si="3">SUM(DP4:DP51)</f>
        <v>2048</v>
      </c>
      <c r="DQ2" s="17">
        <f t="shared" si="3"/>
        <v>6260</v>
      </c>
      <c r="DR2" s="17">
        <f t="shared" si="3"/>
        <v>3318</v>
      </c>
      <c r="DS2" s="17">
        <f t="shared" si="3"/>
        <v>4199</v>
      </c>
      <c r="DT2" s="17">
        <f t="shared" si="3"/>
        <v>8024</v>
      </c>
      <c r="DU2" s="17">
        <f t="shared" si="3"/>
        <v>1639</v>
      </c>
      <c r="DV2" s="17">
        <f t="shared" si="3"/>
        <v>10091</v>
      </c>
      <c r="DW2" s="17">
        <f t="shared" si="3"/>
        <v>8274</v>
      </c>
      <c r="DX2" s="17">
        <f t="shared" si="3"/>
        <v>11502</v>
      </c>
      <c r="DY2" s="17">
        <f t="shared" si="3"/>
        <v>24949</v>
      </c>
      <c r="DZ2" s="17">
        <f t="shared" si="3"/>
        <v>31751</v>
      </c>
      <c r="EA2" s="17">
        <f t="shared" si="3"/>
        <v>23451</v>
      </c>
      <c r="EB2" s="17">
        <f t="shared" si="3"/>
        <v>28491</v>
      </c>
      <c r="EC2" s="17">
        <f t="shared" si="3"/>
        <v>30015</v>
      </c>
      <c r="ED2" s="17">
        <f t="shared" si="3"/>
        <v>11053</v>
      </c>
      <c r="EE2" s="17">
        <f t="shared" si="3"/>
        <v>7310</v>
      </c>
      <c r="EF2" s="17">
        <f t="shared" si="3"/>
        <v>9571</v>
      </c>
      <c r="EG2" s="17">
        <f t="shared" si="3"/>
        <v>2619</v>
      </c>
      <c r="EH2" s="17">
        <f t="shared" si="3"/>
        <v>17876</v>
      </c>
      <c r="EI2" s="17">
        <f t="shared" si="3"/>
        <v>26659</v>
      </c>
      <c r="EJ2" s="17">
        <f t="shared" si="3"/>
        <v>21775</v>
      </c>
      <c r="EK2" s="18">
        <f t="shared" si="3"/>
        <v>21837</v>
      </c>
      <c r="EL2" s="23">
        <f>SUM(DN2:EK2)</f>
        <v>314980</v>
      </c>
    </row>
    <row r="3" spans="1:142" x14ac:dyDescent="0.2">
      <c r="A3" s="25" t="s">
        <v>26</v>
      </c>
      <c r="B3" s="26">
        <v>42277</v>
      </c>
      <c r="C3" s="26">
        <v>42307</v>
      </c>
      <c r="D3" s="26">
        <v>42338</v>
      </c>
      <c r="E3" s="26">
        <v>42368</v>
      </c>
      <c r="F3" s="26">
        <v>42399</v>
      </c>
      <c r="G3" s="26">
        <v>42429</v>
      </c>
      <c r="H3" s="26">
        <v>42459</v>
      </c>
      <c r="I3" s="26">
        <v>42490</v>
      </c>
      <c r="J3" s="26">
        <v>42520</v>
      </c>
      <c r="K3" s="26">
        <v>42551</v>
      </c>
      <c r="L3" s="26">
        <v>42581</v>
      </c>
      <c r="M3" s="26">
        <v>42612</v>
      </c>
      <c r="N3" s="26">
        <v>42643</v>
      </c>
      <c r="O3" s="26">
        <v>42673</v>
      </c>
      <c r="P3" s="26">
        <v>42704</v>
      </c>
      <c r="Q3" s="26">
        <v>42734</v>
      </c>
      <c r="R3" s="26">
        <v>42765</v>
      </c>
      <c r="S3" s="26">
        <v>42794</v>
      </c>
      <c r="T3" s="26">
        <v>42824</v>
      </c>
      <c r="U3" s="26">
        <v>42855</v>
      </c>
      <c r="V3" s="26">
        <v>42885</v>
      </c>
      <c r="W3" s="26">
        <v>42916</v>
      </c>
      <c r="X3" s="26">
        <v>42946</v>
      </c>
      <c r="Y3" s="26">
        <v>42977</v>
      </c>
      <c r="Z3" s="27" t="s">
        <v>0</v>
      </c>
      <c r="AA3" s="28" t="s">
        <v>42</v>
      </c>
      <c r="AB3" s="28" t="s">
        <v>38</v>
      </c>
      <c r="AC3" s="29" t="s">
        <v>39</v>
      </c>
      <c r="AD3" s="30">
        <v>42248</v>
      </c>
      <c r="AE3" s="31">
        <v>42278</v>
      </c>
      <c r="AF3" s="31">
        <v>42309</v>
      </c>
      <c r="AG3" s="31">
        <v>42339</v>
      </c>
      <c r="AH3" s="31">
        <v>42370</v>
      </c>
      <c r="AI3" s="31">
        <v>42401</v>
      </c>
      <c r="AJ3" s="31">
        <v>42430</v>
      </c>
      <c r="AK3" s="31">
        <v>42461</v>
      </c>
      <c r="AL3" s="31">
        <v>42491</v>
      </c>
      <c r="AM3" s="31">
        <v>42522</v>
      </c>
      <c r="AN3" s="31">
        <v>42552</v>
      </c>
      <c r="AO3" s="31">
        <v>42583</v>
      </c>
      <c r="AP3" s="31">
        <v>42614</v>
      </c>
      <c r="AQ3" s="31">
        <v>42644</v>
      </c>
      <c r="AR3" s="31">
        <v>42675</v>
      </c>
      <c r="AS3" s="31">
        <v>42705</v>
      </c>
      <c r="AT3" s="31">
        <v>42736</v>
      </c>
      <c r="AU3" s="31">
        <v>42767</v>
      </c>
      <c r="AV3" s="31">
        <v>42795</v>
      </c>
      <c r="AW3" s="31">
        <v>42826</v>
      </c>
      <c r="AX3" s="31">
        <v>42856</v>
      </c>
      <c r="AY3" s="31">
        <v>42887</v>
      </c>
      <c r="AZ3" s="31">
        <v>42917</v>
      </c>
      <c r="BA3" s="32">
        <v>42948</v>
      </c>
      <c r="BB3" s="33" t="s">
        <v>0</v>
      </c>
      <c r="BC3" s="33" t="s">
        <v>42</v>
      </c>
      <c r="BD3" s="33" t="s">
        <v>38</v>
      </c>
      <c r="BE3" s="34" t="s">
        <v>39</v>
      </c>
      <c r="BF3" s="25" t="s">
        <v>1</v>
      </c>
      <c r="BG3" s="25" t="s">
        <v>2</v>
      </c>
      <c r="BH3" s="25" t="s">
        <v>3</v>
      </c>
      <c r="BI3" s="25" t="s">
        <v>4</v>
      </c>
      <c r="BJ3" s="25" t="s">
        <v>5</v>
      </c>
      <c r="BK3" s="25" t="s">
        <v>6</v>
      </c>
      <c r="BL3" s="25" t="s">
        <v>7</v>
      </c>
      <c r="BM3" s="25" t="s">
        <v>8</v>
      </c>
      <c r="BN3" s="25" t="s">
        <v>9</v>
      </c>
      <c r="BO3" s="25" t="s">
        <v>10</v>
      </c>
      <c r="BP3" s="25" t="s">
        <v>11</v>
      </c>
      <c r="BQ3" s="25" t="s">
        <v>12</v>
      </c>
      <c r="BR3" s="25" t="s">
        <v>13</v>
      </c>
      <c r="BS3" s="25" t="s">
        <v>14</v>
      </c>
      <c r="BT3" s="25" t="s">
        <v>15</v>
      </c>
      <c r="BU3" s="25" t="s">
        <v>16</v>
      </c>
      <c r="BV3" s="25" t="s">
        <v>17</v>
      </c>
      <c r="BW3" s="25" t="s">
        <v>18</v>
      </c>
      <c r="BX3" s="25" t="s">
        <v>19</v>
      </c>
      <c r="BY3" s="25" t="s">
        <v>20</v>
      </c>
      <c r="BZ3" s="25" t="s">
        <v>21</v>
      </c>
      <c r="CA3" s="25" t="s">
        <v>22</v>
      </c>
      <c r="CB3" s="35" t="s">
        <v>23</v>
      </c>
      <c r="CC3" s="35" t="s">
        <v>24</v>
      </c>
      <c r="CD3" s="35" t="s">
        <v>25</v>
      </c>
      <c r="CE3" s="36" t="s">
        <v>28</v>
      </c>
      <c r="CF3" s="35" t="s">
        <v>29</v>
      </c>
      <c r="CG3" s="35" t="s">
        <v>32</v>
      </c>
      <c r="CH3" s="35" t="s">
        <v>30</v>
      </c>
      <c r="CI3" s="35" t="s">
        <v>31</v>
      </c>
      <c r="CJ3" s="35" t="s">
        <v>41</v>
      </c>
      <c r="CL3" s="37" t="s">
        <v>47</v>
      </c>
      <c r="CM3" s="37" t="s">
        <v>33</v>
      </c>
      <c r="CN3" s="38" t="s">
        <v>36</v>
      </c>
      <c r="CO3" s="39" t="s">
        <v>40</v>
      </c>
      <c r="CP3" s="38" t="s">
        <v>53</v>
      </c>
      <c r="CQ3" s="38" t="s">
        <v>34</v>
      </c>
      <c r="CR3" s="38" t="s">
        <v>37</v>
      </c>
      <c r="CS3" s="49" t="s">
        <v>35</v>
      </c>
      <c r="CT3" s="50"/>
      <c r="CU3" s="51" t="s">
        <v>56</v>
      </c>
      <c r="CV3" s="51" t="s">
        <v>33</v>
      </c>
      <c r="CW3" s="52" t="s">
        <v>36</v>
      </c>
      <c r="CX3" s="53" t="s">
        <v>40</v>
      </c>
      <c r="CY3" s="52" t="s">
        <v>53</v>
      </c>
      <c r="CZ3" s="52" t="s">
        <v>34</v>
      </c>
      <c r="DA3" s="52" t="s">
        <v>37</v>
      </c>
      <c r="DB3" s="52" t="s">
        <v>35</v>
      </c>
      <c r="DC3" s="50"/>
      <c r="DD3" s="51" t="s">
        <v>58</v>
      </c>
      <c r="DE3" s="51" t="s">
        <v>64</v>
      </c>
      <c r="DF3" s="51" t="s">
        <v>33</v>
      </c>
      <c r="DG3" s="52" t="s">
        <v>36</v>
      </c>
      <c r="DH3" s="53" t="s">
        <v>40</v>
      </c>
      <c r="DI3" s="52" t="s">
        <v>53</v>
      </c>
      <c r="DJ3" s="52" t="s">
        <v>34</v>
      </c>
      <c r="DK3" s="52" t="s">
        <v>37</v>
      </c>
      <c r="DL3" s="52" t="s">
        <v>35</v>
      </c>
      <c r="DN3" s="26">
        <v>42277</v>
      </c>
      <c r="DO3" s="26">
        <v>42307</v>
      </c>
      <c r="DP3" s="26">
        <v>42338</v>
      </c>
      <c r="DQ3" s="26">
        <v>42368</v>
      </c>
      <c r="DR3" s="26">
        <v>42399</v>
      </c>
      <c r="DS3" s="26">
        <v>42429</v>
      </c>
      <c r="DT3" s="26">
        <v>42459</v>
      </c>
      <c r="DU3" s="26">
        <v>42490</v>
      </c>
      <c r="DV3" s="26">
        <v>42520</v>
      </c>
      <c r="DW3" s="26">
        <v>42551</v>
      </c>
      <c r="DX3" s="26">
        <v>42581</v>
      </c>
      <c r="DY3" s="26">
        <v>42612</v>
      </c>
      <c r="DZ3" s="26">
        <v>42643</v>
      </c>
      <c r="EA3" s="26">
        <v>42673</v>
      </c>
      <c r="EB3" s="26">
        <v>42704</v>
      </c>
      <c r="EC3" s="26">
        <v>42734</v>
      </c>
      <c r="ED3" s="26">
        <v>42765</v>
      </c>
      <c r="EE3" s="26">
        <v>42794</v>
      </c>
      <c r="EF3" s="26">
        <v>42824</v>
      </c>
      <c r="EG3" s="26">
        <v>42855</v>
      </c>
      <c r="EH3" s="26">
        <v>42885</v>
      </c>
      <c r="EI3" s="26">
        <v>42916</v>
      </c>
      <c r="EJ3" s="26">
        <v>42946</v>
      </c>
      <c r="EK3" s="26">
        <v>42977</v>
      </c>
      <c r="EL3" s="51" t="s">
        <v>87</v>
      </c>
    </row>
    <row r="4" spans="1:142" x14ac:dyDescent="0.2">
      <c r="A4" s="12">
        <v>18</v>
      </c>
      <c r="B4" s="13">
        <v>335</v>
      </c>
      <c r="C4" s="13">
        <v>437</v>
      </c>
      <c r="D4" s="13">
        <v>419</v>
      </c>
      <c r="E4" s="13">
        <v>449</v>
      </c>
      <c r="F4" s="13">
        <v>413</v>
      </c>
      <c r="G4" s="13">
        <v>465</v>
      </c>
      <c r="H4" s="13">
        <v>366</v>
      </c>
      <c r="I4" s="13">
        <v>331</v>
      </c>
      <c r="J4" s="13">
        <v>144</v>
      </c>
      <c r="K4" s="13">
        <v>244</v>
      </c>
      <c r="L4" s="13">
        <v>676</v>
      </c>
      <c r="M4" s="13">
        <v>772</v>
      </c>
      <c r="N4" s="13">
        <v>596</v>
      </c>
      <c r="O4" s="13">
        <v>573</v>
      </c>
      <c r="P4" s="13">
        <v>555</v>
      </c>
      <c r="Q4" s="13">
        <v>778</v>
      </c>
      <c r="R4" s="13">
        <v>1368</v>
      </c>
      <c r="S4" s="13">
        <v>1480</v>
      </c>
      <c r="T4" s="13">
        <v>912</v>
      </c>
      <c r="U4" s="13">
        <v>891</v>
      </c>
      <c r="V4" s="13">
        <v>1010</v>
      </c>
      <c r="W4" s="13">
        <v>2193</v>
      </c>
      <c r="X4" s="13">
        <v>4266</v>
      </c>
      <c r="Y4" s="13">
        <v>2936</v>
      </c>
      <c r="Z4" s="14">
        <f>AVERAGE(B4:Y4)</f>
        <v>942.04166666666663</v>
      </c>
      <c r="AA4" s="15">
        <f>_xlfn.STDEV.P(B4:Y4)</f>
        <v>937.14510968004424</v>
      </c>
      <c r="AB4" s="13">
        <f t="shared" ref="AB4:AB50" si="4">Y4-Z4</f>
        <v>1993.9583333333335</v>
      </c>
      <c r="AC4" s="19">
        <f t="shared" ref="AC4:AC50" si="5">Y4/Z4</f>
        <v>3.116634968375426</v>
      </c>
      <c r="AD4" s="14">
        <v>13</v>
      </c>
      <c r="AE4" s="17">
        <v>13</v>
      </c>
      <c r="AF4" s="17">
        <v>13</v>
      </c>
      <c r="AG4" s="17">
        <v>13</v>
      </c>
      <c r="AH4" s="17">
        <v>13</v>
      </c>
      <c r="AI4" s="17">
        <v>13</v>
      </c>
      <c r="AJ4" s="17">
        <v>13</v>
      </c>
      <c r="AK4" s="17">
        <v>13</v>
      </c>
      <c r="AL4" s="17">
        <v>13</v>
      </c>
      <c r="AM4" s="17">
        <v>14</v>
      </c>
      <c r="AN4" s="17">
        <v>6</v>
      </c>
      <c r="AO4" s="17">
        <v>28</v>
      </c>
      <c r="AP4" s="17">
        <v>28</v>
      </c>
      <c r="AQ4" s="17">
        <v>28</v>
      </c>
      <c r="AR4" s="17">
        <v>37</v>
      </c>
      <c r="AS4" s="17">
        <v>72</v>
      </c>
      <c r="AT4" s="17">
        <v>4</v>
      </c>
      <c r="AU4" s="17">
        <v>7</v>
      </c>
      <c r="AV4" s="17">
        <v>3</v>
      </c>
      <c r="AW4" s="17">
        <v>3</v>
      </c>
      <c r="AX4" s="17">
        <v>4</v>
      </c>
      <c r="AY4" s="17">
        <v>9</v>
      </c>
      <c r="AZ4" s="17">
        <v>3</v>
      </c>
      <c r="BA4" s="40">
        <v>20</v>
      </c>
      <c r="BB4" s="17">
        <f>AVERAGE(AD4:BA4)</f>
        <v>15.958333333333334</v>
      </c>
      <c r="BC4" s="41">
        <f>_xlfn.STDEV.P(AD4:BB4)</f>
        <v>14.331724715934692</v>
      </c>
      <c r="BD4" s="17">
        <f>BA4-BB4</f>
        <v>4.0416666666666661</v>
      </c>
      <c r="BE4" s="42">
        <f>BA4/BB4</f>
        <v>1.2532637075718016</v>
      </c>
      <c r="BF4" s="13">
        <v>1</v>
      </c>
      <c r="BG4" s="13">
        <v>0</v>
      </c>
      <c r="BH4" s="13">
        <v>0</v>
      </c>
      <c r="BI4" s="13">
        <v>0</v>
      </c>
      <c r="BJ4" s="13">
        <v>0</v>
      </c>
      <c r="BK4" s="13">
        <v>0</v>
      </c>
      <c r="BL4" s="13">
        <v>0</v>
      </c>
      <c r="BM4" s="13">
        <v>0</v>
      </c>
      <c r="BN4" s="13">
        <v>0</v>
      </c>
      <c r="BO4" s="13">
        <v>0</v>
      </c>
      <c r="BP4" s="13">
        <v>2</v>
      </c>
      <c r="BQ4" s="13">
        <v>0</v>
      </c>
      <c r="BR4" s="13">
        <v>0</v>
      </c>
      <c r="BS4" s="13">
        <v>0</v>
      </c>
      <c r="BT4" s="13">
        <v>0</v>
      </c>
      <c r="BU4" s="13">
        <v>0</v>
      </c>
      <c r="BV4" s="13">
        <v>0</v>
      </c>
      <c r="BW4" s="13">
        <v>0</v>
      </c>
      <c r="BX4" s="13">
        <v>0</v>
      </c>
      <c r="BY4" s="13">
        <v>1</v>
      </c>
      <c r="BZ4" s="13">
        <v>1</v>
      </c>
      <c r="CA4" s="13">
        <v>0</v>
      </c>
      <c r="CB4" s="13">
        <v>5</v>
      </c>
      <c r="CC4" s="13">
        <v>0</v>
      </c>
      <c r="CD4" s="13">
        <v>14</v>
      </c>
      <c r="CE4" s="14">
        <f>AVERAGE(BF4:CD4)</f>
        <v>0.96</v>
      </c>
      <c r="CF4" s="41">
        <f>_xlfn.STDEV.P(BF4:CD4)</f>
        <v>2.8632848269077247</v>
      </c>
      <c r="CG4" s="17">
        <f>MAX(BF4:CD4)</f>
        <v>14</v>
      </c>
      <c r="CH4" s="17">
        <f>AVERAGE(CB4:CD4)</f>
        <v>6.333333333333333</v>
      </c>
      <c r="CI4" s="41">
        <f>_xlfn.STDEV.P(CB4:CD4)</f>
        <v>5.7927157323275891</v>
      </c>
      <c r="CJ4" s="41">
        <f>MAX(BY4:CD4)</f>
        <v>14</v>
      </c>
      <c r="CL4" s="23">
        <f t="shared" ref="CL4:CL50" si="6">SUM(BS4:CD4)/Y4</f>
        <v>7.1525885558583104E-3</v>
      </c>
      <c r="CM4" s="14">
        <f t="shared" ref="CM4:CM50" si="7">Y4-CG4</f>
        <v>2922</v>
      </c>
      <c r="CN4" s="43">
        <f>100*IF(CM4&gt;0,CM4,0)</f>
        <v>292200</v>
      </c>
      <c r="CO4" s="13">
        <f t="shared" ref="CO4:CO50" si="8">Y4-CJ4</f>
        <v>2922</v>
      </c>
      <c r="CP4" s="43">
        <f>100*IF(CO4&gt;0,CO4,0)</f>
        <v>292200</v>
      </c>
      <c r="CQ4" s="13">
        <f>CE4+2*CF4</f>
        <v>6.6865696538154493</v>
      </c>
      <c r="CR4" s="44">
        <f t="shared" ref="CR4:CR50" si="9">Y4-CQ4</f>
        <v>2929.3134303461848</v>
      </c>
      <c r="CS4" s="43">
        <f>100*IF(CR4&gt;0,CR4,0)</f>
        <v>292931.34303461848</v>
      </c>
      <c r="CU4" s="23">
        <f>SUM(BS4:CD4)/(0.8*BA4)</f>
        <v>1.3125</v>
      </c>
      <c r="CV4" s="47">
        <f>(0.65*AVERAGE(AD4:BA4))-CG4</f>
        <v>-3.6270833333333332</v>
      </c>
      <c r="CW4" s="43">
        <f>20*IF(CV4&gt;0,CV4,0)</f>
        <v>0</v>
      </c>
      <c r="CX4" s="13">
        <f>0.8*BA4-CJ4</f>
        <v>2</v>
      </c>
      <c r="CY4" s="43">
        <f>20*IF(CX4&gt;0,CX4,0)</f>
        <v>40</v>
      </c>
      <c r="CZ4" s="13">
        <f>CE4+2*CF4</f>
        <v>6.6865696538154493</v>
      </c>
      <c r="DA4" s="44">
        <f>0.8*BA4-CQ4</f>
        <v>9.3134303461845498</v>
      </c>
      <c r="DB4" s="43">
        <f>20*IF(DA4&gt;0,DA4,0)</f>
        <v>186.26860692369098</v>
      </c>
      <c r="DD4" s="23">
        <f t="shared" ref="DD4:DD50" si="10">SUM(BS4:CD4)/(BA4+0.8*Y4)</f>
        <v>8.8652482269503535E-3</v>
      </c>
      <c r="DE4" s="57">
        <f>BA4*20+Y4*100</f>
        <v>294000</v>
      </c>
      <c r="DF4" s="47">
        <f t="shared" ref="DF4:DF50" si="11">(BA4+0.8*Y4)-CG4</f>
        <v>2354.8000000000002</v>
      </c>
      <c r="DG4" s="43">
        <f>20*IF(DF4&gt;0,DF4,0)</f>
        <v>47096</v>
      </c>
      <c r="DH4" s="13">
        <f t="shared" ref="DH4:DH50" si="12">(BA4+0.8*Y4)-CJ4</f>
        <v>2354.8000000000002</v>
      </c>
      <c r="DI4" s="43">
        <f>20*IF(DH4&gt;0,DH4,0)</f>
        <v>47096</v>
      </c>
      <c r="DJ4" s="13">
        <f>CH6+2*CI6</f>
        <v>2816.1585631387643</v>
      </c>
      <c r="DK4" s="44">
        <f t="shared" ref="DK4:DK50" si="13">(BA4+0.8*Y4)-DJ4</f>
        <v>-447.35856313876411</v>
      </c>
      <c r="DL4" s="43">
        <f>20*IF(DK4&gt;0,DK4,0)</f>
        <v>0</v>
      </c>
      <c r="DN4" s="13">
        <v>0</v>
      </c>
      <c r="DO4" s="13">
        <f>(C4-B4)+(AE4-AD4)+BG4</f>
        <v>102</v>
      </c>
      <c r="DP4" s="13">
        <f t="shared" ref="DP4:EK4" si="14">(D4-C4)+(AF4-AE4)+BH4</f>
        <v>-18</v>
      </c>
      <c r="DQ4" s="13">
        <f t="shared" si="14"/>
        <v>30</v>
      </c>
      <c r="DR4" s="13">
        <f t="shared" si="14"/>
        <v>-36</v>
      </c>
      <c r="DS4" s="13">
        <f t="shared" si="14"/>
        <v>52</v>
      </c>
      <c r="DT4" s="13">
        <f t="shared" si="14"/>
        <v>-99</v>
      </c>
      <c r="DU4" s="13">
        <f t="shared" si="14"/>
        <v>-35</v>
      </c>
      <c r="DV4" s="13">
        <f t="shared" si="14"/>
        <v>-187</v>
      </c>
      <c r="DW4" s="13">
        <f t="shared" si="14"/>
        <v>101</v>
      </c>
      <c r="DX4" s="13">
        <f t="shared" si="14"/>
        <v>426</v>
      </c>
      <c r="DY4" s="13">
        <f t="shared" si="14"/>
        <v>118</v>
      </c>
      <c r="DZ4" s="13">
        <f t="shared" si="14"/>
        <v>-176</v>
      </c>
      <c r="EA4" s="13">
        <f t="shared" si="14"/>
        <v>-23</v>
      </c>
      <c r="EB4" s="13">
        <f t="shared" si="14"/>
        <v>-9</v>
      </c>
      <c r="EC4" s="13">
        <f t="shared" si="14"/>
        <v>258</v>
      </c>
      <c r="ED4" s="13">
        <f t="shared" si="14"/>
        <v>522</v>
      </c>
      <c r="EE4" s="13">
        <f t="shared" si="14"/>
        <v>115</v>
      </c>
      <c r="EF4" s="13">
        <f t="shared" si="14"/>
        <v>-572</v>
      </c>
      <c r="EG4" s="13">
        <f t="shared" si="14"/>
        <v>-20</v>
      </c>
      <c r="EH4" s="13">
        <f t="shared" si="14"/>
        <v>121</v>
      </c>
      <c r="EI4" s="13">
        <f t="shared" si="14"/>
        <v>1188</v>
      </c>
      <c r="EJ4" s="13">
        <f t="shared" si="14"/>
        <v>2072</v>
      </c>
      <c r="EK4" s="13">
        <f t="shared" si="14"/>
        <v>-1313</v>
      </c>
      <c r="EL4" s="47">
        <f t="shared" ref="EL4:EL50" si="15">SUM(DN4:EK4)</f>
        <v>2617</v>
      </c>
    </row>
    <row r="5" spans="1:142" x14ac:dyDescent="0.2">
      <c r="A5" s="12">
        <v>19</v>
      </c>
      <c r="B5" s="13">
        <v>1369</v>
      </c>
      <c r="C5" s="13">
        <v>909</v>
      </c>
      <c r="D5" s="13">
        <v>666</v>
      </c>
      <c r="E5" s="13">
        <v>801</v>
      </c>
      <c r="F5" s="13">
        <v>975</v>
      </c>
      <c r="G5" s="13">
        <v>742</v>
      </c>
      <c r="H5" s="13">
        <v>388</v>
      </c>
      <c r="I5" s="13">
        <v>576</v>
      </c>
      <c r="J5" s="13">
        <v>539</v>
      </c>
      <c r="K5" s="13">
        <v>689</v>
      </c>
      <c r="L5" s="13">
        <v>1308</v>
      </c>
      <c r="M5" s="13">
        <v>2493</v>
      </c>
      <c r="N5" s="13">
        <v>1745</v>
      </c>
      <c r="O5" s="13">
        <v>1341</v>
      </c>
      <c r="P5" s="13">
        <v>1385</v>
      </c>
      <c r="Q5" s="13">
        <v>2442</v>
      </c>
      <c r="R5" s="13">
        <v>2573</v>
      </c>
      <c r="S5" s="13">
        <v>2735</v>
      </c>
      <c r="T5" s="13">
        <v>2357</v>
      </c>
      <c r="U5" s="13">
        <v>2064</v>
      </c>
      <c r="V5" s="13">
        <v>2488</v>
      </c>
      <c r="W5" s="13">
        <v>2193</v>
      </c>
      <c r="X5" s="13">
        <v>3712</v>
      </c>
      <c r="Y5" s="13">
        <v>4263</v>
      </c>
      <c r="Z5" s="14">
        <f>AVERAGE(B5:Y5)</f>
        <v>1698.0416666666667</v>
      </c>
      <c r="AA5" s="15">
        <f>_xlfn.STDEV.P(B5:Y5)</f>
        <v>1017.6048463248831</v>
      </c>
      <c r="AB5" s="13">
        <f t="shared" si="4"/>
        <v>2564.958333333333</v>
      </c>
      <c r="AC5" s="19">
        <f t="shared" si="5"/>
        <v>2.5105391014158465</v>
      </c>
      <c r="AD5" s="14">
        <v>353</v>
      </c>
      <c r="AE5" s="17">
        <v>345</v>
      </c>
      <c r="AF5" s="17">
        <v>271</v>
      </c>
      <c r="AG5" s="17">
        <v>283</v>
      </c>
      <c r="AH5" s="17">
        <v>282</v>
      </c>
      <c r="AI5" s="17">
        <v>285</v>
      </c>
      <c r="AJ5" s="17">
        <v>286</v>
      </c>
      <c r="AK5" s="17">
        <v>149</v>
      </c>
      <c r="AL5" s="17">
        <v>223</v>
      </c>
      <c r="AM5" s="17">
        <v>236</v>
      </c>
      <c r="AN5" s="17">
        <v>248</v>
      </c>
      <c r="AO5" s="17">
        <v>278</v>
      </c>
      <c r="AP5" s="17">
        <v>278</v>
      </c>
      <c r="AQ5" s="17">
        <v>281</v>
      </c>
      <c r="AR5" s="17">
        <v>330</v>
      </c>
      <c r="AS5" s="17">
        <v>343</v>
      </c>
      <c r="AT5" s="17">
        <v>266</v>
      </c>
      <c r="AU5" s="17">
        <v>300</v>
      </c>
      <c r="AV5" s="17">
        <v>291</v>
      </c>
      <c r="AW5" s="17">
        <v>342</v>
      </c>
      <c r="AX5" s="17">
        <v>638</v>
      </c>
      <c r="AY5" s="17">
        <v>1718</v>
      </c>
      <c r="AZ5" s="17">
        <v>2537</v>
      </c>
      <c r="BA5" s="40">
        <v>2709</v>
      </c>
      <c r="BB5" s="17">
        <f>AVERAGE(AD5:BA5)</f>
        <v>553</v>
      </c>
      <c r="BC5" s="41">
        <f>_xlfn.STDEV.P(AD5:BB5)</f>
        <v>676.62456355057043</v>
      </c>
      <c r="BD5" s="17">
        <f>BA5-BB5</f>
        <v>2156</v>
      </c>
      <c r="BE5" s="42">
        <f>BA5/BB5</f>
        <v>4.8987341772151902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0</v>
      </c>
      <c r="BW5" s="13">
        <v>0</v>
      </c>
      <c r="BX5" s="13">
        <v>0</v>
      </c>
      <c r="BY5" s="13">
        <v>0</v>
      </c>
      <c r="BZ5" s="13">
        <v>0</v>
      </c>
      <c r="CA5" s="13">
        <v>0</v>
      </c>
      <c r="CB5" s="13">
        <v>10</v>
      </c>
      <c r="CC5" s="13">
        <v>9</v>
      </c>
      <c r="CD5" s="13">
        <v>5</v>
      </c>
      <c r="CE5" s="14">
        <f>AVERAGE(BF5:CD5)</f>
        <v>0.96</v>
      </c>
      <c r="CF5" s="41">
        <f>_xlfn.STDEV.P(BF5:CD5)</f>
        <v>2.7052541470257467</v>
      </c>
      <c r="CG5" s="17">
        <f>MAX(BF5:CD5)</f>
        <v>10</v>
      </c>
      <c r="CH5" s="17">
        <f>AVERAGE(CB5:CD5)</f>
        <v>8</v>
      </c>
      <c r="CI5" s="41">
        <f>_xlfn.STDEV.P(CB5:CD5)</f>
        <v>2.1602468994692869</v>
      </c>
      <c r="CJ5" s="41">
        <f>MAX(BY5:CD5)</f>
        <v>10</v>
      </c>
      <c r="CL5" s="23">
        <f t="shared" si="6"/>
        <v>5.629838142153413E-3</v>
      </c>
      <c r="CM5" s="14">
        <f t="shared" si="7"/>
        <v>4253</v>
      </c>
      <c r="CN5" s="43">
        <f>100*IF(CM5&gt;0,CM5,0)</f>
        <v>425300</v>
      </c>
      <c r="CO5" s="13">
        <f t="shared" si="8"/>
        <v>4253</v>
      </c>
      <c r="CP5" s="43">
        <f>100*IF(CO5&gt;0,CO5,0)</f>
        <v>425300</v>
      </c>
      <c r="CQ5" s="13">
        <f>CE5+2*CF5</f>
        <v>6.3705082940514934</v>
      </c>
      <c r="CR5" s="44">
        <f t="shared" si="9"/>
        <v>4256.6294917059486</v>
      </c>
      <c r="CS5" s="43">
        <f>100*IF(CR5&gt;0,CR5,0)</f>
        <v>425662.94917059486</v>
      </c>
      <c r="CU5" s="23">
        <f>SUM(BS5:CD5)/(0.8*BA5)</f>
        <v>1.1074197120708748E-2</v>
      </c>
      <c r="CV5" s="14">
        <f>(0.65*AVERAGE(AD5:BA5))-CG5</f>
        <v>349.45</v>
      </c>
      <c r="CW5" s="43">
        <f>20*IF(CV5&gt;0,CV5,0)</f>
        <v>6989</v>
      </c>
      <c r="CX5" s="13">
        <f>0.8*BA5-CJ5</f>
        <v>2157.2000000000003</v>
      </c>
      <c r="CY5" s="43">
        <f>20*IF(CX5&gt;0,CX5,0)</f>
        <v>43144.000000000007</v>
      </c>
      <c r="CZ5" s="13">
        <f>CE5+2*CF5</f>
        <v>6.3705082940514934</v>
      </c>
      <c r="DA5" s="44">
        <f>0.8*BA5-CQ5</f>
        <v>2160.8294917059488</v>
      </c>
      <c r="DB5" s="43">
        <f>20*IF(DA5&gt;0,DA5,0)</f>
        <v>43216.589834118975</v>
      </c>
      <c r="DD5" s="23">
        <f t="shared" si="10"/>
        <v>3.9219531326600649E-3</v>
      </c>
      <c r="DE5" s="57">
        <f t="shared" ref="DE5:DE50" si="16">BA5*20+Y5*100</f>
        <v>480480</v>
      </c>
      <c r="DF5" s="14">
        <f t="shared" si="11"/>
        <v>6109.4</v>
      </c>
      <c r="DG5" s="43">
        <f>20*IF(DF5&gt;0,DF5,0)</f>
        <v>122188</v>
      </c>
      <c r="DH5" s="13">
        <f t="shared" si="12"/>
        <v>6109.4</v>
      </c>
      <c r="DI5" s="43">
        <f>20*IF(DH5&gt;0,DH5,0)</f>
        <v>122188</v>
      </c>
      <c r="DJ5" s="13">
        <f>CH7+2*CI7</f>
        <v>1351.2615474144466</v>
      </c>
      <c r="DK5" s="44">
        <f t="shared" si="13"/>
        <v>4768.1384525855528</v>
      </c>
      <c r="DL5" s="43">
        <f>20*IF(DK5&gt;0,DK5,0)</f>
        <v>95362.76905171106</v>
      </c>
      <c r="DN5" s="13">
        <v>0</v>
      </c>
      <c r="DO5" s="13">
        <f>(C5-B5)+(AE5-AD5)+BG5</f>
        <v>-468</v>
      </c>
      <c r="DP5" s="13">
        <f t="shared" ref="DP5:DP50" si="17">(D5-C5)+(AF5-AE5)+BH5</f>
        <v>-317</v>
      </c>
      <c r="DQ5" s="13">
        <f t="shared" ref="DQ5:DQ50" si="18">(E5-D5)+(AG5-AF5)+BI5</f>
        <v>147</v>
      </c>
      <c r="DR5" s="13">
        <f t="shared" ref="DR5:DR50" si="19">(F5-E5)+(AH5-AG5)+BJ5</f>
        <v>173</v>
      </c>
      <c r="DS5" s="13">
        <f t="shared" ref="DS5:DS50" si="20">(G5-F5)+(AI5-AH5)+BK5</f>
        <v>-230</v>
      </c>
      <c r="DT5" s="13">
        <f t="shared" ref="DT5:DT50" si="21">(H5-G5)+(AJ5-AI5)+BL5</f>
        <v>-353</v>
      </c>
      <c r="DU5" s="13">
        <f t="shared" ref="DU5:DU50" si="22">(I5-H5)+(AK5-AJ5)+BM5</f>
        <v>51</v>
      </c>
      <c r="DV5" s="13">
        <f t="shared" ref="DV5:DV50" si="23">(J5-I5)+(AL5-AK5)+BN5</f>
        <v>37</v>
      </c>
      <c r="DW5" s="13">
        <f t="shared" ref="DW5:DW50" si="24">(K5-J5)+(AM5-AL5)+BO5</f>
        <v>163</v>
      </c>
      <c r="DX5" s="13">
        <f t="shared" ref="DX5:DX50" si="25">(L5-K5)+(AN5-AM5)+BP5</f>
        <v>631</v>
      </c>
      <c r="DY5" s="13">
        <f t="shared" ref="DY5:DY50" si="26">(M5-L5)+(AO5-AN5)+BQ5</f>
        <v>1215</v>
      </c>
      <c r="DZ5" s="13">
        <f t="shared" ref="DZ5:DZ50" si="27">(N5-M5)+(AP5-AO5)+BR5</f>
        <v>-748</v>
      </c>
      <c r="EA5" s="13">
        <f t="shared" ref="EA5:EA50" si="28">(O5-N5)+(AQ5-AP5)+BS5</f>
        <v>-401</v>
      </c>
      <c r="EB5" s="13">
        <f t="shared" ref="EB5:EB50" si="29">(P5-O5)+(AR5-AQ5)+BT5</f>
        <v>93</v>
      </c>
      <c r="EC5" s="13">
        <f t="shared" ref="EC5:EC50" si="30">(Q5-P5)+(AS5-AR5)+BU5</f>
        <v>1070</v>
      </c>
      <c r="ED5" s="13">
        <f t="shared" ref="ED5:ED50" si="31">(R5-Q5)+(AT5-AS5)+BV5</f>
        <v>54</v>
      </c>
      <c r="EE5" s="13">
        <f t="shared" ref="EE5:EE50" si="32">(S5-R5)+(AU5-AT5)+BW5</f>
        <v>196</v>
      </c>
      <c r="EF5" s="13">
        <f t="shared" ref="EF5:EF50" si="33">(T5-S5)+(AV5-AU5)+BX5</f>
        <v>-387</v>
      </c>
      <c r="EG5" s="13">
        <f t="shared" ref="EG5:EG50" si="34">(U5-T5)+(AW5-AV5)+BY5</f>
        <v>-242</v>
      </c>
      <c r="EH5" s="13">
        <f t="shared" ref="EH5:EH50" si="35">(V5-U5)+(AX5-AW5)+BZ5</f>
        <v>720</v>
      </c>
      <c r="EI5" s="13">
        <f t="shared" ref="EI5:EI50" si="36">(W5-V5)+(AY5-AX5)+CA5</f>
        <v>785</v>
      </c>
      <c r="EJ5" s="13">
        <f t="shared" ref="EJ5:EJ50" si="37">(X5-W5)+(AZ5-AY5)+CB5</f>
        <v>2348</v>
      </c>
      <c r="EK5" s="13">
        <f t="shared" ref="EK5:EK50" si="38">(Y5-X5)+(BA5-AZ5)+CC5</f>
        <v>732</v>
      </c>
      <c r="EL5" s="14">
        <f t="shared" si="15"/>
        <v>5269</v>
      </c>
    </row>
    <row r="6" spans="1:142" x14ac:dyDescent="0.2">
      <c r="A6" s="12">
        <v>20</v>
      </c>
      <c r="B6" s="13">
        <v>19</v>
      </c>
      <c r="C6" s="13">
        <v>19</v>
      </c>
      <c r="D6" s="13">
        <v>19</v>
      </c>
      <c r="E6" s="13">
        <v>20</v>
      </c>
      <c r="F6" s="13">
        <v>20</v>
      </c>
      <c r="G6" s="13">
        <v>20</v>
      </c>
      <c r="H6" s="13">
        <v>21</v>
      </c>
      <c r="I6" s="13">
        <v>21</v>
      </c>
      <c r="J6" s="13">
        <v>12</v>
      </c>
      <c r="K6" s="13">
        <v>12</v>
      </c>
      <c r="L6" s="13">
        <v>18</v>
      </c>
      <c r="M6" s="13">
        <v>20</v>
      </c>
      <c r="N6" s="13">
        <v>20</v>
      </c>
      <c r="O6" s="13">
        <v>21</v>
      </c>
      <c r="P6" s="13">
        <v>21</v>
      </c>
      <c r="Q6" s="13">
        <v>4</v>
      </c>
      <c r="R6" s="13">
        <v>12</v>
      </c>
      <c r="S6" s="13">
        <v>12</v>
      </c>
      <c r="T6" s="13">
        <v>13</v>
      </c>
      <c r="U6" s="13">
        <v>14</v>
      </c>
      <c r="V6" s="13">
        <v>14</v>
      </c>
      <c r="W6" s="13">
        <v>15</v>
      </c>
      <c r="X6" s="13">
        <v>11</v>
      </c>
      <c r="Y6" s="13">
        <v>13</v>
      </c>
      <c r="Z6" s="14">
        <f>AVERAGE(B6:Y6)</f>
        <v>16.291666666666668</v>
      </c>
      <c r="AA6" s="15">
        <f>_xlfn.STDEV.P(B6:Y6)</f>
        <v>4.420399366070396</v>
      </c>
      <c r="AB6" s="13">
        <f t="shared" si="4"/>
        <v>-3.2916666666666679</v>
      </c>
      <c r="AC6" s="19">
        <f t="shared" si="5"/>
        <v>0.79795396419437337</v>
      </c>
      <c r="AD6" s="14">
        <v>2431</v>
      </c>
      <c r="AE6" s="17">
        <v>1127</v>
      </c>
      <c r="AF6" s="17">
        <v>1171</v>
      </c>
      <c r="AG6" s="17">
        <v>1606</v>
      </c>
      <c r="AH6" s="17">
        <v>1992</v>
      </c>
      <c r="AI6" s="17">
        <v>2381</v>
      </c>
      <c r="AJ6" s="17">
        <v>2303</v>
      </c>
      <c r="AK6" s="17">
        <v>2250</v>
      </c>
      <c r="AL6" s="17">
        <v>2168</v>
      </c>
      <c r="AM6" s="17">
        <v>1317</v>
      </c>
      <c r="AN6" s="17">
        <v>1221</v>
      </c>
      <c r="AO6" s="17">
        <v>1487</v>
      </c>
      <c r="AP6" s="17">
        <v>1938</v>
      </c>
      <c r="AQ6" s="17">
        <v>3929</v>
      </c>
      <c r="AR6" s="17">
        <v>3581</v>
      </c>
      <c r="AS6" s="17">
        <v>3922</v>
      </c>
      <c r="AT6" s="17">
        <v>2727</v>
      </c>
      <c r="AU6" s="17">
        <v>1739</v>
      </c>
      <c r="AV6" s="17">
        <v>2149</v>
      </c>
      <c r="AW6" s="17">
        <v>2197</v>
      </c>
      <c r="AX6" s="17">
        <v>2494</v>
      </c>
      <c r="AY6" s="17">
        <v>5289</v>
      </c>
      <c r="AZ6" s="17">
        <v>8807</v>
      </c>
      <c r="BA6" s="40">
        <v>9731</v>
      </c>
      <c r="BB6" s="17">
        <f>AVERAGE(AD6:BA6)</f>
        <v>2914.875</v>
      </c>
      <c r="BC6" s="41">
        <f>_xlfn.STDEV.P(AD6:BB6)</f>
        <v>2108.1562619976726</v>
      </c>
      <c r="BD6" s="17">
        <f>BA6-BB6</f>
        <v>6816.125</v>
      </c>
      <c r="BE6" s="42">
        <f>BA6/BB6</f>
        <v>3.3383935846305586</v>
      </c>
      <c r="BF6" s="13">
        <v>1</v>
      </c>
      <c r="BG6" s="13">
        <v>43</v>
      </c>
      <c r="BH6" s="13">
        <v>96</v>
      </c>
      <c r="BI6" s="13">
        <v>118</v>
      </c>
      <c r="BJ6" s="13">
        <v>125</v>
      </c>
      <c r="BK6" s="13">
        <v>53</v>
      </c>
      <c r="BL6" s="13">
        <v>52</v>
      </c>
      <c r="BM6" s="13">
        <v>19</v>
      </c>
      <c r="BN6" s="13">
        <v>4</v>
      </c>
      <c r="BO6" s="13">
        <v>450</v>
      </c>
      <c r="BP6" s="13">
        <v>1105</v>
      </c>
      <c r="BQ6" s="13">
        <v>157</v>
      </c>
      <c r="BR6" s="13">
        <v>259</v>
      </c>
      <c r="BS6" s="13">
        <v>23</v>
      </c>
      <c r="BT6" s="13">
        <v>252</v>
      </c>
      <c r="BU6" s="13">
        <v>459</v>
      </c>
      <c r="BV6" s="13">
        <v>651</v>
      </c>
      <c r="BW6" s="13">
        <v>939</v>
      </c>
      <c r="BX6" s="13">
        <v>1024</v>
      </c>
      <c r="BY6" s="13">
        <v>79</v>
      </c>
      <c r="BZ6" s="13">
        <v>840</v>
      </c>
      <c r="CA6" s="13">
        <v>1460</v>
      </c>
      <c r="CB6" s="13">
        <v>269</v>
      </c>
      <c r="CC6" s="13">
        <v>2230</v>
      </c>
      <c r="CD6" s="13">
        <v>21</v>
      </c>
      <c r="CE6" s="14">
        <f>AVERAGE(BF6:CD6)</f>
        <v>429.16</v>
      </c>
      <c r="CF6" s="41">
        <f>_xlfn.STDEV.P(BF6:CD6)</f>
        <v>546.81833765886086</v>
      </c>
      <c r="CG6" s="17">
        <f>MAX(BF6:CD6)</f>
        <v>2230</v>
      </c>
      <c r="CH6" s="17">
        <f>AVERAGE(CB6:CD6)</f>
        <v>840</v>
      </c>
      <c r="CI6" s="41">
        <f>_xlfn.STDEV.P(CB6:CD6)</f>
        <v>988.07928156938226</v>
      </c>
      <c r="CJ6" s="41">
        <f>MAX(BY6:CD6)</f>
        <v>2230</v>
      </c>
      <c r="CL6" s="23">
        <f t="shared" si="6"/>
        <v>634.38461538461536</v>
      </c>
      <c r="CM6" s="14">
        <f t="shared" si="7"/>
        <v>-2217</v>
      </c>
      <c r="CN6" s="43">
        <f>100*IF(CM6&gt;0,CM6,0)</f>
        <v>0</v>
      </c>
      <c r="CO6" s="13">
        <f t="shared" si="8"/>
        <v>-2217</v>
      </c>
      <c r="CP6" s="43">
        <f>100*IF(CO6&gt;0,CO6,0)</f>
        <v>0</v>
      </c>
      <c r="CQ6" s="13">
        <f>CE6+2*CF6</f>
        <v>1522.7966753177218</v>
      </c>
      <c r="CR6" s="44">
        <f t="shared" si="9"/>
        <v>-1509.7966753177218</v>
      </c>
      <c r="CS6" s="43">
        <f>100*IF(CR6&gt;0,CR6,0)</f>
        <v>0</v>
      </c>
      <c r="CU6" s="23">
        <f>SUM(BS6:CD6)/(0.8*BA6)</f>
        <v>1.0593721097523379</v>
      </c>
      <c r="CV6" s="14">
        <f>(0.65*AVERAGE(AD6:BA6))-CG6</f>
        <v>-335.33124999999995</v>
      </c>
      <c r="CW6" s="43">
        <f>20*IF(CV6&gt;0,CV6,0)</f>
        <v>0</v>
      </c>
      <c r="CX6" s="13">
        <f>0.8*BA6-CJ6</f>
        <v>5554.8</v>
      </c>
      <c r="CY6" s="43">
        <f>20*IF(CX6&gt;0,CX6,0)</f>
        <v>111096</v>
      </c>
      <c r="CZ6" s="13">
        <f>CE6+2*CF6</f>
        <v>1522.7966753177218</v>
      </c>
      <c r="DA6" s="44">
        <f>0.8*BA6-CQ6</f>
        <v>6262.0033246822786</v>
      </c>
      <c r="DB6" s="43">
        <f>20*IF(DA6&gt;0,DA6,0)</f>
        <v>125240.06649364557</v>
      </c>
      <c r="DD6" s="23">
        <f t="shared" si="10"/>
        <v>0.84659289219208744</v>
      </c>
      <c r="DE6" s="57">
        <f t="shared" si="16"/>
        <v>195920</v>
      </c>
      <c r="DF6" s="14">
        <f t="shared" si="11"/>
        <v>7511.4</v>
      </c>
      <c r="DG6" s="43">
        <f>20*IF(DF6&gt;0,DF6,0)</f>
        <v>150228</v>
      </c>
      <c r="DH6" s="13">
        <f t="shared" si="12"/>
        <v>7511.4</v>
      </c>
      <c r="DI6" s="43">
        <f>20*IF(DH6&gt;0,DH6,0)</f>
        <v>150228</v>
      </c>
      <c r="DJ6" s="13">
        <f>CH8+2*CI8</f>
        <v>1585.3625134916292</v>
      </c>
      <c r="DK6" s="44">
        <f t="shared" si="13"/>
        <v>8156.0374865083704</v>
      </c>
      <c r="DL6" s="43">
        <f>20*IF(DK6&gt;0,DK6,0)</f>
        <v>163120.74973016742</v>
      </c>
      <c r="DN6" s="13">
        <v>0</v>
      </c>
      <c r="DO6" s="13">
        <f>(C6-B6)+(AE6-AD6)+BG6</f>
        <v>-1261</v>
      </c>
      <c r="DP6" s="13">
        <f t="shared" si="17"/>
        <v>140</v>
      </c>
      <c r="DQ6" s="13">
        <f t="shared" si="18"/>
        <v>554</v>
      </c>
      <c r="DR6" s="13">
        <f t="shared" si="19"/>
        <v>511</v>
      </c>
      <c r="DS6" s="13">
        <f t="shared" si="20"/>
        <v>442</v>
      </c>
      <c r="DT6" s="13">
        <f t="shared" si="21"/>
        <v>-25</v>
      </c>
      <c r="DU6" s="13">
        <f t="shared" si="22"/>
        <v>-34</v>
      </c>
      <c r="DV6" s="13">
        <f t="shared" si="23"/>
        <v>-87</v>
      </c>
      <c r="DW6" s="13">
        <f t="shared" si="24"/>
        <v>-401</v>
      </c>
      <c r="DX6" s="13">
        <f t="shared" si="25"/>
        <v>1015</v>
      </c>
      <c r="DY6" s="13">
        <f t="shared" si="26"/>
        <v>425</v>
      </c>
      <c r="DZ6" s="13">
        <f t="shared" si="27"/>
        <v>710</v>
      </c>
      <c r="EA6" s="13">
        <f t="shared" si="28"/>
        <v>2015</v>
      </c>
      <c r="EB6" s="13">
        <f t="shared" si="29"/>
        <v>-96</v>
      </c>
      <c r="EC6" s="13">
        <f t="shared" si="30"/>
        <v>783</v>
      </c>
      <c r="ED6" s="13">
        <f t="shared" si="31"/>
        <v>-536</v>
      </c>
      <c r="EE6" s="13">
        <f t="shared" si="32"/>
        <v>-49</v>
      </c>
      <c r="EF6" s="13">
        <f t="shared" si="33"/>
        <v>1435</v>
      </c>
      <c r="EG6" s="13">
        <f t="shared" si="34"/>
        <v>128</v>
      </c>
      <c r="EH6" s="13">
        <f t="shared" si="35"/>
        <v>1137</v>
      </c>
      <c r="EI6" s="13">
        <f t="shared" si="36"/>
        <v>4256</v>
      </c>
      <c r="EJ6" s="13">
        <f t="shared" si="37"/>
        <v>3783</v>
      </c>
      <c r="EK6" s="13">
        <f t="shared" si="38"/>
        <v>3156</v>
      </c>
      <c r="EL6" s="14">
        <f t="shared" si="15"/>
        <v>18001</v>
      </c>
    </row>
    <row r="7" spans="1:142" x14ac:dyDescent="0.2">
      <c r="A7" s="12">
        <v>21</v>
      </c>
      <c r="B7" s="13">
        <v>26</v>
      </c>
      <c r="C7" s="13">
        <v>28</v>
      </c>
      <c r="D7" s="13">
        <v>40</v>
      </c>
      <c r="E7" s="13">
        <v>44</v>
      </c>
      <c r="F7" s="13">
        <v>45</v>
      </c>
      <c r="G7" s="13">
        <v>52</v>
      </c>
      <c r="H7" s="13">
        <v>52</v>
      </c>
      <c r="I7" s="13">
        <v>52</v>
      </c>
      <c r="J7" s="13"/>
      <c r="K7" s="13">
        <v>18</v>
      </c>
      <c r="L7" s="13">
        <v>59</v>
      </c>
      <c r="M7" s="13">
        <v>73</v>
      </c>
      <c r="N7" s="13">
        <v>76</v>
      </c>
      <c r="O7" s="13">
        <v>33</v>
      </c>
      <c r="P7" s="13">
        <v>23</v>
      </c>
      <c r="Q7" s="13">
        <v>26</v>
      </c>
      <c r="R7" s="13">
        <v>49</v>
      </c>
      <c r="S7" s="13">
        <v>75</v>
      </c>
      <c r="T7" s="13">
        <v>68</v>
      </c>
      <c r="U7" s="13">
        <v>73</v>
      </c>
      <c r="V7" s="13">
        <v>59</v>
      </c>
      <c r="W7" s="13">
        <v>84</v>
      </c>
      <c r="X7" s="13">
        <v>109</v>
      </c>
      <c r="Y7" s="13">
        <v>139</v>
      </c>
      <c r="Z7" s="14">
        <f>AVERAGE(B7:Y7)</f>
        <v>56.652173913043477</v>
      </c>
      <c r="AA7" s="15">
        <f>_xlfn.STDEV.P(B7:Y7)</f>
        <v>28.158879510273522</v>
      </c>
      <c r="AB7" s="13">
        <f t="shared" si="4"/>
        <v>82.34782608695653</v>
      </c>
      <c r="AC7" s="19">
        <f t="shared" si="5"/>
        <v>2.4535686876438989</v>
      </c>
      <c r="AD7" s="14">
        <v>1375</v>
      </c>
      <c r="AE7" s="17">
        <v>1190</v>
      </c>
      <c r="AF7" s="17">
        <v>1410</v>
      </c>
      <c r="AG7" s="17">
        <v>1910</v>
      </c>
      <c r="AH7" s="17">
        <v>1323</v>
      </c>
      <c r="AI7" s="17">
        <v>1131</v>
      </c>
      <c r="AJ7" s="17">
        <v>1065</v>
      </c>
      <c r="AK7" s="17">
        <v>881</v>
      </c>
      <c r="AL7" s="17">
        <v>916</v>
      </c>
      <c r="AM7" s="17">
        <v>1148</v>
      </c>
      <c r="AN7" s="17">
        <v>1601</v>
      </c>
      <c r="AO7" s="17">
        <v>3846</v>
      </c>
      <c r="AP7" s="17">
        <v>3846</v>
      </c>
      <c r="AQ7" s="17">
        <v>4736</v>
      </c>
      <c r="AR7" s="17">
        <v>5531</v>
      </c>
      <c r="AS7" s="17">
        <v>5762</v>
      </c>
      <c r="AT7" s="17">
        <v>6085</v>
      </c>
      <c r="AU7" s="17">
        <v>5001</v>
      </c>
      <c r="AV7" s="17">
        <v>5024</v>
      </c>
      <c r="AW7" s="17">
        <v>4408</v>
      </c>
      <c r="AX7" s="17">
        <v>4084</v>
      </c>
      <c r="AY7" s="17">
        <v>6635</v>
      </c>
      <c r="AZ7" s="17">
        <v>12120</v>
      </c>
      <c r="BA7" s="40">
        <v>13095</v>
      </c>
      <c r="BB7" s="17">
        <f>AVERAGE(AD7:BA7)</f>
        <v>3921.7916666666665</v>
      </c>
      <c r="BC7" s="41">
        <f>_xlfn.STDEV.P(AD7:BB7)</f>
        <v>3168.9863992029586</v>
      </c>
      <c r="BD7" s="17">
        <f>BA7-BB7</f>
        <v>9173.2083333333339</v>
      </c>
      <c r="BE7" s="42">
        <f>BA7/BB7</f>
        <v>3.3390350923791212</v>
      </c>
      <c r="BF7" s="13">
        <v>267</v>
      </c>
      <c r="BG7" s="13">
        <v>563</v>
      </c>
      <c r="BH7" s="13">
        <v>595</v>
      </c>
      <c r="BI7" s="13">
        <v>244</v>
      </c>
      <c r="BJ7" s="13">
        <v>164</v>
      </c>
      <c r="BK7" s="13">
        <v>1001</v>
      </c>
      <c r="BL7" s="13">
        <v>505</v>
      </c>
      <c r="BM7" s="13">
        <v>241</v>
      </c>
      <c r="BN7" s="13">
        <v>291</v>
      </c>
      <c r="BO7" s="13">
        <v>931</v>
      </c>
      <c r="BP7" s="13">
        <v>2189</v>
      </c>
      <c r="BQ7" s="13">
        <v>1109</v>
      </c>
      <c r="BR7" s="13">
        <v>1993</v>
      </c>
      <c r="BS7" s="13">
        <v>2798</v>
      </c>
      <c r="BT7" s="13">
        <v>1737</v>
      </c>
      <c r="BU7" s="13">
        <v>1249</v>
      </c>
      <c r="BV7" s="13">
        <v>624</v>
      </c>
      <c r="BW7" s="13">
        <v>894</v>
      </c>
      <c r="BX7" s="13">
        <v>1800</v>
      </c>
      <c r="BY7" s="13">
        <v>711</v>
      </c>
      <c r="BZ7" s="13">
        <v>2098</v>
      </c>
      <c r="CA7" s="13">
        <v>2433</v>
      </c>
      <c r="CB7" s="13">
        <v>764</v>
      </c>
      <c r="CC7" s="13">
        <v>60</v>
      </c>
      <c r="CD7" s="13">
        <v>943</v>
      </c>
      <c r="CE7" s="14">
        <f>AVERAGE(BF7:CD7)</f>
        <v>1048.1600000000001</v>
      </c>
      <c r="CF7" s="41">
        <f>_xlfn.STDEV.P(BF7:CD7)</f>
        <v>768.39248720949888</v>
      </c>
      <c r="CG7" s="17">
        <f>MAX(BF7:CD7)</f>
        <v>2798</v>
      </c>
      <c r="CH7" s="17">
        <f>AVERAGE(CB7:CD7)</f>
        <v>589</v>
      </c>
      <c r="CI7" s="41">
        <f>_xlfn.STDEV.P(CB7:CD7)</f>
        <v>381.13077370722328</v>
      </c>
      <c r="CJ7" s="41">
        <f>MAX(BY7:CD7)</f>
        <v>2433</v>
      </c>
      <c r="CL7" s="23">
        <f t="shared" si="6"/>
        <v>115.90647482014388</v>
      </c>
      <c r="CM7" s="47">
        <f t="shared" si="7"/>
        <v>-2659</v>
      </c>
      <c r="CN7" s="43">
        <f>100*IF(CM7&gt;0,CM7,0)</f>
        <v>0</v>
      </c>
      <c r="CO7" s="13">
        <f t="shared" si="8"/>
        <v>-2294</v>
      </c>
      <c r="CP7" s="43">
        <f>100*IF(CO7&gt;0,CO7,0)</f>
        <v>0</v>
      </c>
      <c r="CQ7" s="13">
        <f>CE7+2*CF7</f>
        <v>2584.9449744189978</v>
      </c>
      <c r="CR7" s="44">
        <f t="shared" si="9"/>
        <v>-2445.9449744189978</v>
      </c>
      <c r="CS7" s="43">
        <f>100*IF(CR7&gt;0,CR7,0)</f>
        <v>0</v>
      </c>
      <c r="CU7" s="23">
        <f>SUM(BS7:CD7)/(0.8*BA7)</f>
        <v>1.5378961435662466</v>
      </c>
      <c r="CV7" s="14">
        <f>(0.65*AVERAGE(AD7:BA7))-CG7</f>
        <v>-248.83541666666679</v>
      </c>
      <c r="CW7" s="43">
        <f>20*IF(CV7&gt;0,CV7,0)</f>
        <v>0</v>
      </c>
      <c r="CX7" s="13">
        <f>0.8*BA7-CJ7</f>
        <v>8043</v>
      </c>
      <c r="CY7" s="43">
        <f>20*IF(CX7&gt;0,CX7,0)</f>
        <v>160860</v>
      </c>
      <c r="CZ7" s="13">
        <f>CE7+2*CF7</f>
        <v>2584.9449744189978</v>
      </c>
      <c r="DA7" s="44">
        <f>0.8*BA7-CQ7</f>
        <v>7891.0550255810022</v>
      </c>
      <c r="DB7" s="43">
        <f>20*IF(DA7&gt;0,DA7,0)</f>
        <v>157821.10051162005</v>
      </c>
      <c r="DD7" s="23">
        <f t="shared" si="10"/>
        <v>1.2199572927867213</v>
      </c>
      <c r="DE7" s="57">
        <f t="shared" si="16"/>
        <v>275800</v>
      </c>
      <c r="DF7" s="47">
        <f t="shared" si="11"/>
        <v>10408.200000000001</v>
      </c>
      <c r="DG7" s="43">
        <f>20*IF(DF7&gt;0,DF7,0)</f>
        <v>208164</v>
      </c>
      <c r="DH7" s="13">
        <f t="shared" si="12"/>
        <v>10773.2</v>
      </c>
      <c r="DI7" s="43">
        <f>20*IF(DH7&gt;0,DH7,0)</f>
        <v>215464</v>
      </c>
      <c r="DJ7" s="13">
        <f>CH9+2*CI9</f>
        <v>775.77948149456574</v>
      </c>
      <c r="DK7" s="44">
        <f t="shared" si="13"/>
        <v>12430.420518505434</v>
      </c>
      <c r="DL7" s="43">
        <f>20*IF(DK7&gt;0,DK7,0)</f>
        <v>248608.41037010867</v>
      </c>
      <c r="DN7" s="13">
        <v>0</v>
      </c>
      <c r="DO7" s="13">
        <f>(C7-B7)+(AE7-AD7)+BG7</f>
        <v>380</v>
      </c>
      <c r="DP7" s="13">
        <f t="shared" si="17"/>
        <v>827</v>
      </c>
      <c r="DQ7" s="13">
        <f t="shared" si="18"/>
        <v>748</v>
      </c>
      <c r="DR7" s="13">
        <f t="shared" si="19"/>
        <v>-422</v>
      </c>
      <c r="DS7" s="13">
        <f t="shared" si="20"/>
        <v>816</v>
      </c>
      <c r="DT7" s="13">
        <f t="shared" si="21"/>
        <v>439</v>
      </c>
      <c r="DU7" s="13">
        <f t="shared" si="22"/>
        <v>57</v>
      </c>
      <c r="DV7" s="13">
        <f t="shared" si="23"/>
        <v>274</v>
      </c>
      <c r="DW7" s="13">
        <f t="shared" si="24"/>
        <v>1181</v>
      </c>
      <c r="DX7" s="13">
        <f t="shared" si="25"/>
        <v>2683</v>
      </c>
      <c r="DY7" s="13">
        <f t="shared" si="26"/>
        <v>3368</v>
      </c>
      <c r="DZ7" s="13">
        <f t="shared" si="27"/>
        <v>1996</v>
      </c>
      <c r="EA7" s="13">
        <f t="shared" si="28"/>
        <v>3645</v>
      </c>
      <c r="EB7" s="13">
        <f t="shared" si="29"/>
        <v>2522</v>
      </c>
      <c r="EC7" s="13">
        <f t="shared" si="30"/>
        <v>1483</v>
      </c>
      <c r="ED7" s="13">
        <f t="shared" si="31"/>
        <v>970</v>
      </c>
      <c r="EE7" s="13">
        <f t="shared" si="32"/>
        <v>-164</v>
      </c>
      <c r="EF7" s="13">
        <f t="shared" si="33"/>
        <v>1816</v>
      </c>
      <c r="EG7" s="13">
        <f t="shared" si="34"/>
        <v>100</v>
      </c>
      <c r="EH7" s="13">
        <f t="shared" si="35"/>
        <v>1760</v>
      </c>
      <c r="EI7" s="13">
        <f t="shared" si="36"/>
        <v>5009</v>
      </c>
      <c r="EJ7" s="13">
        <f t="shared" si="37"/>
        <v>6274</v>
      </c>
      <c r="EK7" s="13">
        <f t="shared" si="38"/>
        <v>1065</v>
      </c>
      <c r="EL7" s="14">
        <f t="shared" si="15"/>
        <v>36827</v>
      </c>
    </row>
    <row r="8" spans="1:142" x14ac:dyDescent="0.2">
      <c r="A8" s="12">
        <v>22</v>
      </c>
      <c r="B8" s="13">
        <v>595</v>
      </c>
      <c r="C8" s="13">
        <v>607</v>
      </c>
      <c r="D8" s="13">
        <v>560</v>
      </c>
      <c r="E8" s="13">
        <v>612</v>
      </c>
      <c r="F8" s="13">
        <v>471</v>
      </c>
      <c r="G8" s="13">
        <v>527</v>
      </c>
      <c r="H8" s="13">
        <v>400</v>
      </c>
      <c r="I8" s="13">
        <v>461</v>
      </c>
      <c r="J8" s="13">
        <v>600</v>
      </c>
      <c r="K8" s="13">
        <v>581</v>
      </c>
      <c r="L8" s="13">
        <v>625</v>
      </c>
      <c r="M8" s="13">
        <v>845</v>
      </c>
      <c r="N8" s="13">
        <v>1010</v>
      </c>
      <c r="O8" s="13">
        <v>1097</v>
      </c>
      <c r="P8" s="13">
        <v>1489</v>
      </c>
      <c r="Q8" s="13">
        <v>2073</v>
      </c>
      <c r="R8" s="13">
        <v>2138</v>
      </c>
      <c r="S8" s="13">
        <v>1918</v>
      </c>
      <c r="T8" s="13">
        <v>2356</v>
      </c>
      <c r="U8" s="13">
        <v>2690</v>
      </c>
      <c r="V8" s="13">
        <v>2885</v>
      </c>
      <c r="W8" s="13">
        <v>2855</v>
      </c>
      <c r="X8" s="13">
        <v>4421</v>
      </c>
      <c r="Y8" s="13">
        <v>3786</v>
      </c>
      <c r="Z8" s="14">
        <f>AVERAGE(B8:Y8)</f>
        <v>1483.4166666666667</v>
      </c>
      <c r="AA8" s="15">
        <f>_xlfn.STDEV.P(B8:Y8)</f>
        <v>1143.8270890839324</v>
      </c>
      <c r="AB8" s="13">
        <f t="shared" si="4"/>
        <v>2302.583333333333</v>
      </c>
      <c r="AC8" s="19">
        <f t="shared" si="5"/>
        <v>2.5522161676310318</v>
      </c>
      <c r="AD8" s="14">
        <v>766</v>
      </c>
      <c r="AE8" s="17">
        <v>791</v>
      </c>
      <c r="AF8" s="17">
        <v>1011</v>
      </c>
      <c r="AG8" s="17">
        <v>1032</v>
      </c>
      <c r="AH8" s="17">
        <v>1073</v>
      </c>
      <c r="AI8" s="17">
        <v>928</v>
      </c>
      <c r="AJ8" s="17">
        <v>989</v>
      </c>
      <c r="AK8" s="17">
        <v>1127</v>
      </c>
      <c r="AL8" s="17">
        <v>803</v>
      </c>
      <c r="AM8" s="17">
        <v>982</v>
      </c>
      <c r="AN8" s="17">
        <v>1350</v>
      </c>
      <c r="AO8" s="17">
        <v>2661</v>
      </c>
      <c r="AP8" s="17">
        <v>2492</v>
      </c>
      <c r="AQ8" s="17">
        <v>2509</v>
      </c>
      <c r="AR8" s="17">
        <v>4122</v>
      </c>
      <c r="AS8" s="17">
        <v>3102</v>
      </c>
      <c r="AT8" s="17">
        <v>3640</v>
      </c>
      <c r="AU8" s="17">
        <v>3674</v>
      </c>
      <c r="AV8" s="17">
        <v>1997</v>
      </c>
      <c r="AW8" s="17">
        <v>2956</v>
      </c>
      <c r="AX8" s="17">
        <v>6039</v>
      </c>
      <c r="AY8" s="17">
        <v>5939</v>
      </c>
      <c r="AZ8" s="17">
        <v>8017</v>
      </c>
      <c r="BA8" s="40">
        <v>9118</v>
      </c>
      <c r="BB8" s="17">
        <f>AVERAGE(AD8:BA8)</f>
        <v>2796.5833333333335</v>
      </c>
      <c r="BC8" s="41">
        <f>_xlfn.STDEV.P(AD8:BB8)</f>
        <v>2263.7626009220435</v>
      </c>
      <c r="BD8" s="17">
        <f>BA8-BB8</f>
        <v>6321.4166666666661</v>
      </c>
      <c r="BE8" s="42">
        <f>BA8/BB8</f>
        <v>3.2604070443100208</v>
      </c>
      <c r="BF8" s="13">
        <v>5</v>
      </c>
      <c r="BG8" s="13">
        <v>83</v>
      </c>
      <c r="BH8" s="13">
        <v>127</v>
      </c>
      <c r="BI8" s="13">
        <v>123</v>
      </c>
      <c r="BJ8" s="13">
        <v>155</v>
      </c>
      <c r="BK8" s="13">
        <v>18</v>
      </c>
      <c r="BL8" s="13">
        <v>276</v>
      </c>
      <c r="BM8" s="13">
        <v>309</v>
      </c>
      <c r="BN8" s="13">
        <v>117</v>
      </c>
      <c r="BO8" s="13">
        <v>302</v>
      </c>
      <c r="BP8" s="13">
        <v>414</v>
      </c>
      <c r="BQ8" s="13">
        <v>750</v>
      </c>
      <c r="BR8" s="13">
        <v>624</v>
      </c>
      <c r="BS8" s="13">
        <v>885</v>
      </c>
      <c r="BT8" s="13">
        <v>1367</v>
      </c>
      <c r="BU8" s="13">
        <v>1495</v>
      </c>
      <c r="BV8" s="13">
        <v>847</v>
      </c>
      <c r="BW8" s="13">
        <v>1249</v>
      </c>
      <c r="BX8" s="13">
        <v>1882</v>
      </c>
      <c r="BY8" s="13">
        <v>2275</v>
      </c>
      <c r="BZ8" s="13">
        <v>1989</v>
      </c>
      <c r="CA8" s="13">
        <v>1684</v>
      </c>
      <c r="CB8" s="13">
        <v>306</v>
      </c>
      <c r="CC8" s="13">
        <v>1276</v>
      </c>
      <c r="CD8" s="13">
        <v>798</v>
      </c>
      <c r="CE8" s="14">
        <f>AVERAGE(BF8:CD8)</f>
        <v>774.24</v>
      </c>
      <c r="CF8" s="41">
        <f>_xlfn.STDEV.P(BF8:CD8)</f>
        <v>678.48786459302278</v>
      </c>
      <c r="CG8" s="17">
        <f>MAX(BF8:CD8)</f>
        <v>2275</v>
      </c>
      <c r="CH8" s="17">
        <f>AVERAGE(CB8:CD8)</f>
        <v>793.33333333333337</v>
      </c>
      <c r="CI8" s="41">
        <f>_xlfn.STDEV.P(CB8:CD8)</f>
        <v>396.01459007914792</v>
      </c>
      <c r="CJ8" s="41">
        <f>MAX(BY8:CD8)</f>
        <v>2275</v>
      </c>
      <c r="CL8" s="23">
        <f t="shared" si="6"/>
        <v>4.2400950871632332</v>
      </c>
      <c r="CM8" s="14">
        <f t="shared" si="7"/>
        <v>1511</v>
      </c>
      <c r="CN8" s="43">
        <f>100*IF(CM8&gt;0,CM8,0)</f>
        <v>151100</v>
      </c>
      <c r="CO8" s="13">
        <f t="shared" si="8"/>
        <v>1511</v>
      </c>
      <c r="CP8" s="43">
        <f>100*IF(CO8&gt;0,CO8,0)</f>
        <v>151100</v>
      </c>
      <c r="CQ8" s="13">
        <f>CE8+2*CF8</f>
        <v>2131.2157291860458</v>
      </c>
      <c r="CR8" s="44">
        <f t="shared" si="9"/>
        <v>1654.7842708139542</v>
      </c>
      <c r="CS8" s="43">
        <f>100*IF(CR8&gt;0,CR8,0)</f>
        <v>165478.42708139541</v>
      </c>
      <c r="CU8" s="23">
        <f>SUM(BS8:CD8)/(0.8*BA8)</f>
        <v>2.2007293266067118</v>
      </c>
      <c r="CV8" s="14">
        <f>(0.65*AVERAGE(AD8:BA8))-CG8</f>
        <v>-457.22083333333308</v>
      </c>
      <c r="CW8" s="43">
        <f>20*IF(CV8&gt;0,CV8,0)</f>
        <v>0</v>
      </c>
      <c r="CX8" s="13">
        <f>0.8*BA8-CJ8</f>
        <v>5019.4000000000005</v>
      </c>
      <c r="CY8" s="43">
        <f>20*IF(CX8&gt;0,CX8,0)</f>
        <v>100388.00000000001</v>
      </c>
      <c r="CZ8" s="13">
        <f>CE8+2*CF8</f>
        <v>2131.2157291860458</v>
      </c>
      <c r="DA8" s="44">
        <f>0.8*BA8-CQ8</f>
        <v>5163.1842708139548</v>
      </c>
      <c r="DB8" s="43">
        <f>20*IF(DA8&gt;0,DA8,0)</f>
        <v>103263.6854162791</v>
      </c>
      <c r="DD8" s="23">
        <f t="shared" si="10"/>
        <v>1.3215826390489678</v>
      </c>
      <c r="DE8" s="57">
        <f t="shared" si="16"/>
        <v>560960</v>
      </c>
      <c r="DF8" s="14">
        <f t="shared" si="11"/>
        <v>9871.7999999999993</v>
      </c>
      <c r="DG8" s="43">
        <f>20*IF(DF8&gt;0,DF8,0)</f>
        <v>197436</v>
      </c>
      <c r="DH8" s="13">
        <f t="shared" si="12"/>
        <v>9871.7999999999993</v>
      </c>
      <c r="DI8" s="43">
        <f>20*IF(DH8&gt;0,DH8,0)</f>
        <v>197436</v>
      </c>
      <c r="DJ8" s="13">
        <f>CH10+2*CI10</f>
        <v>1014.962522577085</v>
      </c>
      <c r="DK8" s="44">
        <f t="shared" si="13"/>
        <v>11131.837477422914</v>
      </c>
      <c r="DL8" s="43">
        <f>20*IF(DK8&gt;0,DK8,0)</f>
        <v>222636.74954845829</v>
      </c>
      <c r="DN8" s="13">
        <v>0</v>
      </c>
      <c r="DO8" s="13">
        <f>(C8-B8)+(AE8-AD8)+BG8</f>
        <v>120</v>
      </c>
      <c r="DP8" s="13">
        <f t="shared" si="17"/>
        <v>300</v>
      </c>
      <c r="DQ8" s="13">
        <f t="shared" si="18"/>
        <v>196</v>
      </c>
      <c r="DR8" s="13">
        <f t="shared" si="19"/>
        <v>55</v>
      </c>
      <c r="DS8" s="13">
        <f t="shared" si="20"/>
        <v>-71</v>
      </c>
      <c r="DT8" s="13">
        <f t="shared" si="21"/>
        <v>210</v>
      </c>
      <c r="DU8" s="13">
        <f t="shared" si="22"/>
        <v>508</v>
      </c>
      <c r="DV8" s="13">
        <f t="shared" si="23"/>
        <v>-68</v>
      </c>
      <c r="DW8" s="13">
        <f t="shared" si="24"/>
        <v>462</v>
      </c>
      <c r="DX8" s="13">
        <f t="shared" si="25"/>
        <v>826</v>
      </c>
      <c r="DY8" s="13">
        <f t="shared" si="26"/>
        <v>2281</v>
      </c>
      <c r="DZ8" s="13">
        <f t="shared" si="27"/>
        <v>620</v>
      </c>
      <c r="EA8" s="13">
        <f t="shared" si="28"/>
        <v>989</v>
      </c>
      <c r="EB8" s="13">
        <f t="shared" si="29"/>
        <v>3372</v>
      </c>
      <c r="EC8" s="13">
        <f t="shared" si="30"/>
        <v>1059</v>
      </c>
      <c r="ED8" s="13">
        <f t="shared" si="31"/>
        <v>1450</v>
      </c>
      <c r="EE8" s="13">
        <f t="shared" si="32"/>
        <v>1063</v>
      </c>
      <c r="EF8" s="13">
        <f t="shared" si="33"/>
        <v>643</v>
      </c>
      <c r="EG8" s="13">
        <f t="shared" si="34"/>
        <v>3568</v>
      </c>
      <c r="EH8" s="13">
        <f t="shared" si="35"/>
        <v>5267</v>
      </c>
      <c r="EI8" s="13">
        <f t="shared" si="36"/>
        <v>1554</v>
      </c>
      <c r="EJ8" s="13">
        <f t="shared" si="37"/>
        <v>3950</v>
      </c>
      <c r="EK8" s="13">
        <f t="shared" si="38"/>
        <v>1742</v>
      </c>
      <c r="EL8" s="14">
        <f t="shared" si="15"/>
        <v>30096</v>
      </c>
    </row>
    <row r="9" spans="1:142" ht="10.8" customHeight="1" x14ac:dyDescent="0.2">
      <c r="A9" s="12">
        <v>23</v>
      </c>
      <c r="B9" s="13">
        <v>235</v>
      </c>
      <c r="C9" s="13">
        <v>133</v>
      </c>
      <c r="D9" s="13">
        <v>356</v>
      </c>
      <c r="E9" s="13">
        <v>310</v>
      </c>
      <c r="F9" s="13">
        <v>292</v>
      </c>
      <c r="G9" s="13">
        <v>201</v>
      </c>
      <c r="H9" s="13">
        <v>191</v>
      </c>
      <c r="I9" s="13">
        <v>365</v>
      </c>
      <c r="J9" s="13">
        <v>261</v>
      </c>
      <c r="K9" s="13">
        <v>264</v>
      </c>
      <c r="L9" s="13">
        <v>276</v>
      </c>
      <c r="M9" s="13">
        <v>498</v>
      </c>
      <c r="N9" s="13">
        <v>228</v>
      </c>
      <c r="O9" s="13">
        <v>203</v>
      </c>
      <c r="P9" s="13">
        <v>399</v>
      </c>
      <c r="Q9" s="13">
        <v>480</v>
      </c>
      <c r="R9" s="13">
        <v>738</v>
      </c>
      <c r="S9" s="13">
        <v>771</v>
      </c>
      <c r="T9" s="13">
        <v>531</v>
      </c>
      <c r="U9" s="13">
        <v>598</v>
      </c>
      <c r="V9" s="13">
        <v>728</v>
      </c>
      <c r="W9" s="13">
        <v>829</v>
      </c>
      <c r="X9" s="13">
        <v>1282</v>
      </c>
      <c r="Y9" s="13">
        <v>1239</v>
      </c>
      <c r="Z9" s="14">
        <f>AVERAGE(B9:Y9)</f>
        <v>475.33333333333331</v>
      </c>
      <c r="AA9" s="15">
        <f>_xlfn.STDEV.P(B9:Y9)</f>
        <v>308.74944894237825</v>
      </c>
      <c r="AB9" s="13">
        <f t="shared" si="4"/>
        <v>763.66666666666674</v>
      </c>
      <c r="AC9" s="19">
        <f t="shared" si="5"/>
        <v>2.6065918653576436</v>
      </c>
      <c r="AD9" s="14">
        <v>1181</v>
      </c>
      <c r="AE9" s="17">
        <v>1681</v>
      </c>
      <c r="AF9" s="17">
        <v>1967</v>
      </c>
      <c r="AG9" s="17">
        <v>2166</v>
      </c>
      <c r="AH9" s="17">
        <v>2010</v>
      </c>
      <c r="AI9" s="17">
        <v>2057</v>
      </c>
      <c r="AJ9" s="17">
        <v>2668</v>
      </c>
      <c r="AK9" s="17">
        <v>1534</v>
      </c>
      <c r="AL9" s="17">
        <v>1967</v>
      </c>
      <c r="AM9" s="17">
        <v>2075</v>
      </c>
      <c r="AN9" s="17">
        <v>1510</v>
      </c>
      <c r="AO9" s="17">
        <v>2641</v>
      </c>
      <c r="AP9" s="17">
        <v>2696</v>
      </c>
      <c r="AQ9" s="17">
        <v>3216</v>
      </c>
      <c r="AR9" s="17">
        <v>3504</v>
      </c>
      <c r="AS9" s="17">
        <v>4461</v>
      </c>
      <c r="AT9" s="17">
        <v>5163</v>
      </c>
      <c r="AU9" s="17">
        <v>5295</v>
      </c>
      <c r="AV9" s="17">
        <v>5978</v>
      </c>
      <c r="AW9" s="17">
        <v>5584</v>
      </c>
      <c r="AX9" s="17">
        <v>7352</v>
      </c>
      <c r="AY9" s="17">
        <v>7364</v>
      </c>
      <c r="AZ9" s="17">
        <v>7264</v>
      </c>
      <c r="BA9" s="40">
        <v>6899</v>
      </c>
      <c r="BB9" s="17">
        <f>AVERAGE(AD9:BA9)</f>
        <v>3676.375</v>
      </c>
      <c r="BC9" s="41">
        <f>_xlfn.STDEV.P(AD9:BB9)</f>
        <v>2035.8687150698102</v>
      </c>
      <c r="BD9" s="17">
        <f>BA9-BB9</f>
        <v>3222.625</v>
      </c>
      <c r="BE9" s="42">
        <f>BA9/BB9</f>
        <v>1.8765767909965658</v>
      </c>
      <c r="BF9" s="13">
        <v>20</v>
      </c>
      <c r="BG9" s="13">
        <v>101</v>
      </c>
      <c r="BH9" s="13">
        <v>42</v>
      </c>
      <c r="BI9" s="13">
        <v>133</v>
      </c>
      <c r="BJ9" s="13">
        <v>73</v>
      </c>
      <c r="BK9" s="13">
        <v>154</v>
      </c>
      <c r="BL9" s="13">
        <v>105</v>
      </c>
      <c r="BM9" s="13">
        <v>142</v>
      </c>
      <c r="BN9" s="13">
        <v>631</v>
      </c>
      <c r="BO9" s="13">
        <v>205</v>
      </c>
      <c r="BP9" s="13">
        <v>129</v>
      </c>
      <c r="BQ9" s="13">
        <v>115</v>
      </c>
      <c r="BR9" s="13">
        <v>305</v>
      </c>
      <c r="BS9" s="13">
        <v>133</v>
      </c>
      <c r="BT9" s="13">
        <v>395</v>
      </c>
      <c r="BU9" s="13">
        <v>319</v>
      </c>
      <c r="BV9" s="13">
        <v>137</v>
      </c>
      <c r="BW9" s="13">
        <v>49</v>
      </c>
      <c r="BX9" s="13">
        <v>305</v>
      </c>
      <c r="BY9" s="13">
        <v>55</v>
      </c>
      <c r="BZ9" s="13">
        <v>45</v>
      </c>
      <c r="CA9" s="13">
        <v>102</v>
      </c>
      <c r="CB9" s="13">
        <v>149</v>
      </c>
      <c r="CC9" s="13">
        <v>615</v>
      </c>
      <c r="CD9" s="13">
        <v>9</v>
      </c>
      <c r="CE9" s="14">
        <f>AVERAGE(BF9:CD9)</f>
        <v>178.72</v>
      </c>
      <c r="CF9" s="41">
        <f>_xlfn.STDEV.P(BF9:CD9)</f>
        <v>162.53923095671396</v>
      </c>
      <c r="CG9" s="17">
        <f>MAX(BF9:CD9)</f>
        <v>631</v>
      </c>
      <c r="CH9" s="17">
        <f>AVERAGE(CB9:CD9)</f>
        <v>257.66666666666669</v>
      </c>
      <c r="CI9" s="41">
        <f>_xlfn.STDEV.P(CB9:CD9)</f>
        <v>259.05640741394956</v>
      </c>
      <c r="CJ9" s="41">
        <f>MAX(BY9:CD9)</f>
        <v>615</v>
      </c>
      <c r="CL9" s="23">
        <f t="shared" si="6"/>
        <v>1.8668280871670702</v>
      </c>
      <c r="CM9" s="14">
        <f t="shared" si="7"/>
        <v>608</v>
      </c>
      <c r="CN9" s="43">
        <f>100*IF(CM9&gt;0,CM9,0)</f>
        <v>60800</v>
      </c>
      <c r="CO9" s="13">
        <f t="shared" si="8"/>
        <v>624</v>
      </c>
      <c r="CP9" s="43">
        <f>100*IF(CO9&gt;0,CO9,0)</f>
        <v>62400</v>
      </c>
      <c r="CQ9" s="13">
        <f>CE9+2*CF9</f>
        <v>503.7984619134279</v>
      </c>
      <c r="CR9" s="44">
        <f t="shared" si="9"/>
        <v>735.2015380865721</v>
      </c>
      <c r="CS9" s="43">
        <f>100*IF(CR9&gt;0,CR9,0)</f>
        <v>73520.153808657211</v>
      </c>
      <c r="CU9" s="23">
        <f>SUM(BS9:CD9)/(0.8*BA9)</f>
        <v>0.41908247572111895</v>
      </c>
      <c r="CV9" s="14">
        <f>(0.65*AVERAGE(AD9:BA9))-CG9</f>
        <v>1758.6437500000002</v>
      </c>
      <c r="CW9" s="43">
        <f>20*IF(CV9&gt;0,CV9,0)</f>
        <v>35172.875</v>
      </c>
      <c r="CX9" s="13">
        <f>0.8*BA9-CJ9</f>
        <v>4904.2000000000007</v>
      </c>
      <c r="CY9" s="43">
        <f>20*IF(CX9&gt;0,CX9,0)</f>
        <v>98084.000000000015</v>
      </c>
      <c r="CZ9" s="13">
        <f>CE9+2*CF9</f>
        <v>503.7984619134279</v>
      </c>
      <c r="DA9" s="44">
        <f>0.8*BA9-CQ9</f>
        <v>5015.4015380865731</v>
      </c>
      <c r="DB9" s="43">
        <f>20*IF(DA9&gt;0,DA9,0)</f>
        <v>100308.03076173147</v>
      </c>
      <c r="DD9" s="23">
        <f t="shared" si="10"/>
        <v>0.29314846264986949</v>
      </c>
      <c r="DE9" s="57">
        <f t="shared" si="16"/>
        <v>261880</v>
      </c>
      <c r="DF9" s="14">
        <f t="shared" si="11"/>
        <v>7259.2</v>
      </c>
      <c r="DG9" s="43">
        <f>20*IF(DF9&gt;0,DF9,0)</f>
        <v>145184</v>
      </c>
      <c r="DH9" s="13">
        <f t="shared" si="12"/>
        <v>7275.2</v>
      </c>
      <c r="DI9" s="43">
        <f>20*IF(DH9&gt;0,DH9,0)</f>
        <v>145504</v>
      </c>
      <c r="DJ9" s="13">
        <f>CH11+2*CI11</f>
        <v>91.502380882969476</v>
      </c>
      <c r="DK9" s="44">
        <f t="shared" si="13"/>
        <v>7798.6976191170306</v>
      </c>
      <c r="DL9" s="43">
        <f>20*IF(DK9&gt;0,DK9,0)</f>
        <v>155973.95238234062</v>
      </c>
      <c r="DN9" s="13">
        <v>0</v>
      </c>
      <c r="DO9" s="13">
        <f>(C9-B9)+(AE9-AD9)+BG9</f>
        <v>499</v>
      </c>
      <c r="DP9" s="13">
        <f t="shared" si="17"/>
        <v>551</v>
      </c>
      <c r="DQ9" s="13">
        <f t="shared" si="18"/>
        <v>286</v>
      </c>
      <c r="DR9" s="13">
        <f t="shared" si="19"/>
        <v>-101</v>
      </c>
      <c r="DS9" s="13">
        <f t="shared" si="20"/>
        <v>110</v>
      </c>
      <c r="DT9" s="13">
        <f t="shared" si="21"/>
        <v>706</v>
      </c>
      <c r="DU9" s="13">
        <f t="shared" si="22"/>
        <v>-818</v>
      </c>
      <c r="DV9" s="13">
        <f t="shared" si="23"/>
        <v>960</v>
      </c>
      <c r="DW9" s="13">
        <f t="shared" si="24"/>
        <v>316</v>
      </c>
      <c r="DX9" s="13">
        <f t="shared" si="25"/>
        <v>-424</v>
      </c>
      <c r="DY9" s="13">
        <f t="shared" si="26"/>
        <v>1468</v>
      </c>
      <c r="DZ9" s="13">
        <f t="shared" si="27"/>
        <v>90</v>
      </c>
      <c r="EA9" s="13">
        <f t="shared" si="28"/>
        <v>628</v>
      </c>
      <c r="EB9" s="13">
        <f t="shared" si="29"/>
        <v>879</v>
      </c>
      <c r="EC9" s="13">
        <f t="shared" si="30"/>
        <v>1357</v>
      </c>
      <c r="ED9" s="13">
        <f t="shared" si="31"/>
        <v>1097</v>
      </c>
      <c r="EE9" s="13">
        <f t="shared" si="32"/>
        <v>214</v>
      </c>
      <c r="EF9" s="13">
        <f t="shared" si="33"/>
        <v>748</v>
      </c>
      <c r="EG9" s="13">
        <f t="shared" si="34"/>
        <v>-272</v>
      </c>
      <c r="EH9" s="13">
        <f t="shared" si="35"/>
        <v>1943</v>
      </c>
      <c r="EI9" s="13">
        <f t="shared" si="36"/>
        <v>215</v>
      </c>
      <c r="EJ9" s="13">
        <f t="shared" si="37"/>
        <v>502</v>
      </c>
      <c r="EK9" s="13">
        <f t="shared" si="38"/>
        <v>207</v>
      </c>
      <c r="EL9" s="14">
        <f t="shared" si="15"/>
        <v>11161</v>
      </c>
    </row>
    <row r="10" spans="1:142" x14ac:dyDescent="0.2">
      <c r="A10" s="12">
        <v>24</v>
      </c>
      <c r="B10" s="13">
        <v>479</v>
      </c>
      <c r="C10" s="13">
        <v>378</v>
      </c>
      <c r="D10" s="13">
        <v>334</v>
      </c>
      <c r="E10" s="13">
        <v>554</v>
      </c>
      <c r="F10" s="13">
        <v>543</v>
      </c>
      <c r="G10" s="13">
        <v>622</v>
      </c>
      <c r="H10" s="13">
        <v>411</v>
      </c>
      <c r="I10" s="13">
        <v>511</v>
      </c>
      <c r="J10" s="13">
        <v>544</v>
      </c>
      <c r="K10" s="13">
        <v>291</v>
      </c>
      <c r="L10" s="13">
        <v>494</v>
      </c>
      <c r="M10" s="13">
        <v>534</v>
      </c>
      <c r="N10" s="13">
        <v>555</v>
      </c>
      <c r="O10" s="13">
        <v>728</v>
      </c>
      <c r="P10" s="13">
        <v>961</v>
      </c>
      <c r="Q10" s="13">
        <v>1752</v>
      </c>
      <c r="R10" s="13">
        <v>2117</v>
      </c>
      <c r="S10" s="13">
        <v>1978</v>
      </c>
      <c r="T10" s="13">
        <v>1439</v>
      </c>
      <c r="U10" s="13">
        <v>1661</v>
      </c>
      <c r="V10" s="13">
        <v>1604</v>
      </c>
      <c r="W10" s="13">
        <v>1152</v>
      </c>
      <c r="X10" s="13">
        <v>1779</v>
      </c>
      <c r="Y10" s="13">
        <v>1819</v>
      </c>
      <c r="Z10" s="14">
        <f>AVERAGE(B10:Y10)</f>
        <v>968.33333333333337</v>
      </c>
      <c r="AA10" s="15">
        <f>_xlfn.STDEV.P(B10:Y10)</f>
        <v>603.34778988205096</v>
      </c>
      <c r="AB10" s="13">
        <f t="shared" si="4"/>
        <v>850.66666666666663</v>
      </c>
      <c r="AC10" s="19">
        <f t="shared" si="5"/>
        <v>1.8784853700516351</v>
      </c>
      <c r="AD10" s="14">
        <v>201</v>
      </c>
      <c r="AE10" s="17">
        <v>578</v>
      </c>
      <c r="AF10" s="17">
        <v>901</v>
      </c>
      <c r="AG10" s="17">
        <v>1471</v>
      </c>
      <c r="AH10" s="17">
        <v>1679</v>
      </c>
      <c r="AI10" s="17">
        <v>1734</v>
      </c>
      <c r="AJ10" s="17">
        <v>1873</v>
      </c>
      <c r="AK10" s="17">
        <v>1713</v>
      </c>
      <c r="AL10" s="17">
        <v>1900</v>
      </c>
      <c r="AM10" s="17">
        <v>1899</v>
      </c>
      <c r="AN10" s="17">
        <v>1780</v>
      </c>
      <c r="AO10" s="17">
        <v>1554</v>
      </c>
      <c r="AP10" s="17">
        <v>2387</v>
      </c>
      <c r="AQ10" s="17">
        <v>3682</v>
      </c>
      <c r="AR10" s="17">
        <v>4206</v>
      </c>
      <c r="AS10" s="17">
        <v>4757</v>
      </c>
      <c r="AT10" s="17">
        <v>4381</v>
      </c>
      <c r="AU10" s="17">
        <v>4639</v>
      </c>
      <c r="AV10" s="17">
        <v>4759</v>
      </c>
      <c r="AW10" s="17">
        <v>4909</v>
      </c>
      <c r="AX10" s="17">
        <v>2891</v>
      </c>
      <c r="AY10" s="17">
        <v>4585</v>
      </c>
      <c r="AZ10" s="17">
        <v>4614</v>
      </c>
      <c r="BA10" s="40">
        <v>5168</v>
      </c>
      <c r="BB10" s="17">
        <f>AVERAGE(AD10:BA10)</f>
        <v>2844.2083333333335</v>
      </c>
      <c r="BC10" s="41">
        <f>_xlfn.STDEV.P(AD10:BB10)</f>
        <v>1532.0702589415846</v>
      </c>
      <c r="BD10" s="17">
        <f>BA10-BB10</f>
        <v>2323.7916666666665</v>
      </c>
      <c r="BE10" s="42">
        <f>BA10/BB10</f>
        <v>1.8170258273391833</v>
      </c>
      <c r="BF10" s="13">
        <v>193</v>
      </c>
      <c r="BG10" s="13">
        <v>239</v>
      </c>
      <c r="BH10" s="13">
        <v>284</v>
      </c>
      <c r="BI10" s="13">
        <v>179</v>
      </c>
      <c r="BJ10" s="13">
        <v>275</v>
      </c>
      <c r="BK10" s="13">
        <v>85</v>
      </c>
      <c r="BL10" s="13">
        <v>642</v>
      </c>
      <c r="BM10" s="13">
        <v>305</v>
      </c>
      <c r="BN10" s="13">
        <v>444</v>
      </c>
      <c r="BO10" s="13">
        <v>548</v>
      </c>
      <c r="BP10" s="13">
        <v>185</v>
      </c>
      <c r="BQ10" s="13">
        <v>628</v>
      </c>
      <c r="BR10" s="13">
        <v>839</v>
      </c>
      <c r="BS10" s="13">
        <v>429</v>
      </c>
      <c r="BT10" s="13">
        <v>1260</v>
      </c>
      <c r="BU10" s="13">
        <v>2047</v>
      </c>
      <c r="BV10" s="13">
        <v>1026</v>
      </c>
      <c r="BW10" s="13">
        <v>1674</v>
      </c>
      <c r="BX10" s="13">
        <v>960</v>
      </c>
      <c r="BY10" s="13">
        <v>110</v>
      </c>
      <c r="BZ10" s="13">
        <v>1015</v>
      </c>
      <c r="CA10" s="13">
        <v>1586</v>
      </c>
      <c r="CB10" s="13">
        <v>729</v>
      </c>
      <c r="CC10" s="13">
        <v>853</v>
      </c>
      <c r="CD10" s="13">
        <v>449</v>
      </c>
      <c r="CE10" s="14">
        <f>AVERAGE(BF10:CD10)</f>
        <v>679.36</v>
      </c>
      <c r="CF10" s="41">
        <f>_xlfn.STDEV.P(BF10:CD10)</f>
        <v>515.50362792127851</v>
      </c>
      <c r="CG10" s="17">
        <f>MAX(BF10:CD10)</f>
        <v>2047</v>
      </c>
      <c r="CH10" s="17">
        <f>AVERAGE(CB10:CD10)</f>
        <v>677</v>
      </c>
      <c r="CI10" s="41">
        <f>_xlfn.STDEV.P(CB10:CD10)</f>
        <v>168.9812612885425</v>
      </c>
      <c r="CJ10" s="41">
        <f>MAX(BY10:CD10)</f>
        <v>1586</v>
      </c>
      <c r="CL10" s="23">
        <f t="shared" si="6"/>
        <v>6.6728971962616823</v>
      </c>
      <c r="CM10" s="14">
        <f t="shared" si="7"/>
        <v>-228</v>
      </c>
      <c r="CN10" s="43">
        <f>100*IF(CM10&gt;0,CM10,0)</f>
        <v>0</v>
      </c>
      <c r="CO10" s="13">
        <f t="shared" si="8"/>
        <v>233</v>
      </c>
      <c r="CP10" s="43">
        <f>100*IF(CO10&gt;0,CO10,0)</f>
        <v>23300</v>
      </c>
      <c r="CQ10" s="13">
        <f>CE10+2*CF10</f>
        <v>1710.3672558425569</v>
      </c>
      <c r="CR10" s="44">
        <f t="shared" si="9"/>
        <v>108.63274415744308</v>
      </c>
      <c r="CS10" s="43">
        <f>100*IF(CR10&gt;0,CR10,0)</f>
        <v>10863.274415744308</v>
      </c>
      <c r="CU10" s="23">
        <f>SUM(BS10:CD10)/(0.8*BA10)</f>
        <v>2.9358552631578942</v>
      </c>
      <c r="CV10" s="14">
        <f>(0.65*AVERAGE(AD10:BA10))-CG10</f>
        <v>-198.26458333333312</v>
      </c>
      <c r="CW10" s="43">
        <f>20*IF(CV10&gt;0,CV10,0)</f>
        <v>0</v>
      </c>
      <c r="CX10" s="13">
        <f>0.8*BA10-CJ10</f>
        <v>2548.4000000000005</v>
      </c>
      <c r="CY10" s="43">
        <f>20*IF(CX10&gt;0,CX10,0)</f>
        <v>50968.000000000015</v>
      </c>
      <c r="CZ10" s="13">
        <f>CE10+2*CF10</f>
        <v>1710.3672558425569</v>
      </c>
      <c r="DA10" s="44">
        <f>0.8*BA10-CQ10</f>
        <v>2424.0327441574436</v>
      </c>
      <c r="DB10" s="43">
        <f>20*IF(DA10&gt;0,DA10,0)</f>
        <v>48480.654883148876</v>
      </c>
      <c r="DD10" s="23">
        <f t="shared" si="10"/>
        <v>1.8326488706365505</v>
      </c>
      <c r="DE10" s="57">
        <f t="shared" si="16"/>
        <v>285260</v>
      </c>
      <c r="DF10" s="14">
        <f t="shared" si="11"/>
        <v>4576.2</v>
      </c>
      <c r="DG10" s="43">
        <f>20*IF(DF10&gt;0,DF10,0)</f>
        <v>91524</v>
      </c>
      <c r="DH10" s="13">
        <f t="shared" si="12"/>
        <v>5037.2</v>
      </c>
      <c r="DI10" s="43">
        <f>20*IF(DH10&gt;0,DH10,0)</f>
        <v>100744</v>
      </c>
      <c r="DJ10" s="13">
        <f>CH12+2*CI12</f>
        <v>804.1780694092887</v>
      </c>
      <c r="DK10" s="44">
        <f t="shared" si="13"/>
        <v>5819.0219305907112</v>
      </c>
      <c r="DL10" s="43">
        <f>20*IF(DK10&gt;0,DK10,0)</f>
        <v>116380.43861181423</v>
      </c>
      <c r="DN10" s="13">
        <v>0</v>
      </c>
      <c r="DO10" s="13">
        <f>(C10-B10)+(AE10-AD10)+BG10</f>
        <v>515</v>
      </c>
      <c r="DP10" s="13">
        <f t="shared" si="17"/>
        <v>563</v>
      </c>
      <c r="DQ10" s="13">
        <f t="shared" si="18"/>
        <v>969</v>
      </c>
      <c r="DR10" s="13">
        <f t="shared" si="19"/>
        <v>472</v>
      </c>
      <c r="DS10" s="13">
        <f t="shared" si="20"/>
        <v>219</v>
      </c>
      <c r="DT10" s="13">
        <f t="shared" si="21"/>
        <v>570</v>
      </c>
      <c r="DU10" s="13">
        <f t="shared" si="22"/>
        <v>245</v>
      </c>
      <c r="DV10" s="13">
        <f t="shared" si="23"/>
        <v>664</v>
      </c>
      <c r="DW10" s="13">
        <f t="shared" si="24"/>
        <v>294</v>
      </c>
      <c r="DX10" s="13">
        <f t="shared" si="25"/>
        <v>269</v>
      </c>
      <c r="DY10" s="13">
        <f t="shared" si="26"/>
        <v>442</v>
      </c>
      <c r="DZ10" s="13">
        <f t="shared" si="27"/>
        <v>1693</v>
      </c>
      <c r="EA10" s="13">
        <f t="shared" si="28"/>
        <v>1897</v>
      </c>
      <c r="EB10" s="13">
        <f t="shared" si="29"/>
        <v>2017</v>
      </c>
      <c r="EC10" s="13">
        <f t="shared" si="30"/>
        <v>3389</v>
      </c>
      <c r="ED10" s="13">
        <f t="shared" si="31"/>
        <v>1015</v>
      </c>
      <c r="EE10" s="13">
        <f t="shared" si="32"/>
        <v>1793</v>
      </c>
      <c r="EF10" s="13">
        <f t="shared" si="33"/>
        <v>541</v>
      </c>
      <c r="EG10" s="13">
        <f t="shared" si="34"/>
        <v>482</v>
      </c>
      <c r="EH10" s="13">
        <f t="shared" si="35"/>
        <v>-1060</v>
      </c>
      <c r="EI10" s="13">
        <f t="shared" si="36"/>
        <v>2828</v>
      </c>
      <c r="EJ10" s="13">
        <f t="shared" si="37"/>
        <v>1385</v>
      </c>
      <c r="EK10" s="13">
        <f t="shared" si="38"/>
        <v>1447</v>
      </c>
      <c r="EL10" s="14">
        <f t="shared" si="15"/>
        <v>22649</v>
      </c>
    </row>
    <row r="11" spans="1:142" x14ac:dyDescent="0.2">
      <c r="A11" s="12">
        <v>25</v>
      </c>
      <c r="B11" s="13">
        <v>308</v>
      </c>
      <c r="C11" s="13">
        <v>287</v>
      </c>
      <c r="D11" s="13">
        <v>343</v>
      </c>
      <c r="E11" s="13">
        <v>331</v>
      </c>
      <c r="F11" s="13">
        <v>337</v>
      </c>
      <c r="G11" s="13">
        <v>455</v>
      </c>
      <c r="H11" s="13">
        <v>339</v>
      </c>
      <c r="I11" s="13">
        <v>365</v>
      </c>
      <c r="J11" s="13">
        <v>184</v>
      </c>
      <c r="K11" s="13">
        <v>247</v>
      </c>
      <c r="L11" s="13">
        <v>157</v>
      </c>
      <c r="M11" s="13">
        <v>241</v>
      </c>
      <c r="N11" s="13">
        <v>261</v>
      </c>
      <c r="O11" s="13">
        <v>202</v>
      </c>
      <c r="P11" s="13">
        <v>245</v>
      </c>
      <c r="Q11" s="13">
        <v>502</v>
      </c>
      <c r="R11" s="13">
        <v>523</v>
      </c>
      <c r="S11" s="13">
        <v>420</v>
      </c>
      <c r="T11" s="13">
        <v>364</v>
      </c>
      <c r="U11" s="13">
        <v>337</v>
      </c>
      <c r="V11" s="13">
        <v>351</v>
      </c>
      <c r="W11" s="13">
        <v>245</v>
      </c>
      <c r="X11" s="13">
        <v>277</v>
      </c>
      <c r="Y11" s="13">
        <v>236</v>
      </c>
      <c r="Z11" s="14">
        <f>AVERAGE(B11:Y11)</f>
        <v>314.875</v>
      </c>
      <c r="AA11" s="15">
        <f>_xlfn.STDEV.P(B11:Y11)</f>
        <v>92.165300999526579</v>
      </c>
      <c r="AB11" s="13">
        <f t="shared" si="4"/>
        <v>-78.875</v>
      </c>
      <c r="AC11" s="19">
        <f t="shared" si="5"/>
        <v>0.74950377133783253</v>
      </c>
      <c r="AD11" s="14">
        <v>482</v>
      </c>
      <c r="AE11" s="17">
        <v>529</v>
      </c>
      <c r="AF11" s="17">
        <v>431</v>
      </c>
      <c r="AG11" s="17">
        <v>600</v>
      </c>
      <c r="AH11" s="17">
        <v>463</v>
      </c>
      <c r="AI11" s="17">
        <v>1044</v>
      </c>
      <c r="AJ11" s="17">
        <v>911</v>
      </c>
      <c r="AK11" s="17">
        <v>952</v>
      </c>
      <c r="AL11" s="17">
        <v>812</v>
      </c>
      <c r="AM11" s="17">
        <v>751</v>
      </c>
      <c r="AN11" s="17">
        <v>783</v>
      </c>
      <c r="AO11" s="17">
        <v>839</v>
      </c>
      <c r="AP11" s="17">
        <v>1028</v>
      </c>
      <c r="AQ11" s="17">
        <v>1658</v>
      </c>
      <c r="AR11" s="17">
        <v>2381</v>
      </c>
      <c r="AS11" s="17">
        <v>2568</v>
      </c>
      <c r="AT11" s="17">
        <v>2654</v>
      </c>
      <c r="AU11" s="17">
        <v>2009</v>
      </c>
      <c r="AV11" s="17">
        <v>2651</v>
      </c>
      <c r="AW11" s="17">
        <v>2657</v>
      </c>
      <c r="AX11" s="17">
        <v>2650</v>
      </c>
      <c r="AY11" s="17">
        <v>2791</v>
      </c>
      <c r="AZ11" s="17">
        <v>2859</v>
      </c>
      <c r="BA11" s="40">
        <v>2847</v>
      </c>
      <c r="BB11" s="17">
        <f>AVERAGE(AD11:BA11)</f>
        <v>1556.25</v>
      </c>
      <c r="BC11" s="41">
        <f>_xlfn.STDEV.P(AD11:BB11)</f>
        <v>913.0416091285216</v>
      </c>
      <c r="BD11" s="17">
        <f>BA11-BB11</f>
        <v>1290.75</v>
      </c>
      <c r="BE11" s="42">
        <f>BA11/BB11</f>
        <v>1.8293975903614459</v>
      </c>
      <c r="BF11" s="13">
        <v>67</v>
      </c>
      <c r="BG11" s="13">
        <v>49</v>
      </c>
      <c r="BH11" s="13">
        <v>14</v>
      </c>
      <c r="BI11" s="13">
        <v>150</v>
      </c>
      <c r="BJ11" s="13">
        <v>44</v>
      </c>
      <c r="BK11" s="13">
        <v>162</v>
      </c>
      <c r="BL11" s="13">
        <v>434</v>
      </c>
      <c r="BM11" s="13">
        <v>51</v>
      </c>
      <c r="BN11" s="13">
        <v>313</v>
      </c>
      <c r="BO11" s="13">
        <v>212</v>
      </c>
      <c r="BP11" s="13">
        <v>177</v>
      </c>
      <c r="BQ11" s="13">
        <v>26</v>
      </c>
      <c r="BR11" s="13">
        <v>101</v>
      </c>
      <c r="BS11" s="13">
        <v>96</v>
      </c>
      <c r="BT11" s="13">
        <v>379</v>
      </c>
      <c r="BU11" s="13">
        <v>37</v>
      </c>
      <c r="BV11" s="13">
        <v>131</v>
      </c>
      <c r="BW11" s="13">
        <v>142</v>
      </c>
      <c r="BX11" s="13">
        <v>123</v>
      </c>
      <c r="BY11" s="13">
        <v>44</v>
      </c>
      <c r="BZ11" s="13">
        <v>85</v>
      </c>
      <c r="CA11" s="13">
        <v>169</v>
      </c>
      <c r="CB11" s="13">
        <v>76</v>
      </c>
      <c r="CC11" s="13">
        <v>26</v>
      </c>
      <c r="CD11" s="13">
        <v>50</v>
      </c>
      <c r="CE11" s="14">
        <f>AVERAGE(BF11:CD11)</f>
        <v>126.32</v>
      </c>
      <c r="CF11" s="41">
        <f>_xlfn.STDEV.P(BF11:CD11)</f>
        <v>107.38294836704755</v>
      </c>
      <c r="CG11" s="17">
        <f>MAX(BF11:CD11)</f>
        <v>434</v>
      </c>
      <c r="CH11" s="17">
        <f>AVERAGE(CB11:CD11)</f>
        <v>50.666666666666664</v>
      </c>
      <c r="CI11" s="41">
        <f>_xlfn.STDEV.P(CB11:CD11)</f>
        <v>20.417857108151406</v>
      </c>
      <c r="CJ11" s="41">
        <f>MAX(BY11:CD11)</f>
        <v>169</v>
      </c>
      <c r="CL11" s="23">
        <f t="shared" si="6"/>
        <v>5.7542372881355934</v>
      </c>
      <c r="CM11" s="14">
        <f t="shared" si="7"/>
        <v>-198</v>
      </c>
      <c r="CN11" s="43">
        <f>100*IF(CM11&gt;0,CM11,0)</f>
        <v>0</v>
      </c>
      <c r="CO11" s="13">
        <f t="shared" si="8"/>
        <v>67</v>
      </c>
      <c r="CP11" s="43">
        <f>100*IF(CO11&gt;0,CO11,0)</f>
        <v>6700</v>
      </c>
      <c r="CQ11" s="13">
        <f>CE11+2*CF11</f>
        <v>341.08589673409506</v>
      </c>
      <c r="CR11" s="44">
        <f t="shared" si="9"/>
        <v>-105.08589673409506</v>
      </c>
      <c r="CS11" s="43">
        <f>100*IF(CR11&gt;0,CR11,0)</f>
        <v>0</v>
      </c>
      <c r="CU11" s="23">
        <f>SUM(BS11:CD11)/(0.8*BA11)</f>
        <v>0.59624165788549355</v>
      </c>
      <c r="CV11" s="14">
        <f>(0.65*AVERAGE(AD11:BA11))-CG11</f>
        <v>577.5625</v>
      </c>
      <c r="CW11" s="43">
        <f>20*IF(CV11&gt;0,CV11,0)</f>
        <v>11551.25</v>
      </c>
      <c r="CX11" s="13">
        <f>0.8*BA11-CJ11</f>
        <v>2108.6</v>
      </c>
      <c r="CY11" s="43">
        <f>20*IF(CX11&gt;0,CX11,0)</f>
        <v>42172</v>
      </c>
      <c r="CZ11" s="13">
        <f>CE11+2*CF11</f>
        <v>341.08589673409506</v>
      </c>
      <c r="DA11" s="44">
        <f>0.8*BA11-CQ11</f>
        <v>1936.5141032659049</v>
      </c>
      <c r="DB11" s="43">
        <f>20*IF(DA11&gt;0,DA11,0)</f>
        <v>38730.282065318097</v>
      </c>
      <c r="DD11" s="23">
        <f t="shared" si="10"/>
        <v>0.4473285460175242</v>
      </c>
      <c r="DE11" s="57">
        <f t="shared" si="16"/>
        <v>80540</v>
      </c>
      <c r="DF11" s="14">
        <f t="shared" si="11"/>
        <v>2601.8000000000002</v>
      </c>
      <c r="DG11" s="43">
        <f>20*IF(DF11&gt;0,DF11,0)</f>
        <v>52036</v>
      </c>
      <c r="DH11" s="13">
        <f t="shared" si="12"/>
        <v>2866.8</v>
      </c>
      <c r="DI11" s="43">
        <f>20*IF(DH11&gt;0,DH11,0)</f>
        <v>57336</v>
      </c>
      <c r="DJ11" s="13">
        <f>CH13+2*CI13</f>
        <v>67.396969585158644</v>
      </c>
      <c r="DK11" s="44">
        <f t="shared" si="13"/>
        <v>2968.4030304148414</v>
      </c>
      <c r="DL11" s="43">
        <f>20*IF(DK11&gt;0,DK11,0)</f>
        <v>59368.06060829683</v>
      </c>
      <c r="DN11" s="13">
        <v>0</v>
      </c>
      <c r="DO11" s="13">
        <f>(C11-B11)+(AE11-AD11)+BG11</f>
        <v>75</v>
      </c>
      <c r="DP11" s="13">
        <f t="shared" si="17"/>
        <v>-28</v>
      </c>
      <c r="DQ11" s="13">
        <f t="shared" si="18"/>
        <v>307</v>
      </c>
      <c r="DR11" s="13">
        <f t="shared" si="19"/>
        <v>-87</v>
      </c>
      <c r="DS11" s="13">
        <f t="shared" si="20"/>
        <v>861</v>
      </c>
      <c r="DT11" s="13">
        <f t="shared" si="21"/>
        <v>185</v>
      </c>
      <c r="DU11" s="13">
        <f t="shared" si="22"/>
        <v>118</v>
      </c>
      <c r="DV11" s="13">
        <f t="shared" si="23"/>
        <v>-8</v>
      </c>
      <c r="DW11" s="13">
        <f t="shared" si="24"/>
        <v>214</v>
      </c>
      <c r="DX11" s="13">
        <f t="shared" si="25"/>
        <v>119</v>
      </c>
      <c r="DY11" s="13">
        <f t="shared" si="26"/>
        <v>166</v>
      </c>
      <c r="DZ11" s="13">
        <f t="shared" si="27"/>
        <v>310</v>
      </c>
      <c r="EA11" s="13">
        <f t="shared" si="28"/>
        <v>667</v>
      </c>
      <c r="EB11" s="13">
        <f t="shared" si="29"/>
        <v>1145</v>
      </c>
      <c r="EC11" s="13">
        <f t="shared" si="30"/>
        <v>481</v>
      </c>
      <c r="ED11" s="13">
        <f t="shared" si="31"/>
        <v>238</v>
      </c>
      <c r="EE11" s="13">
        <f t="shared" si="32"/>
        <v>-606</v>
      </c>
      <c r="EF11" s="13">
        <f t="shared" si="33"/>
        <v>709</v>
      </c>
      <c r="EG11" s="13">
        <f t="shared" si="34"/>
        <v>23</v>
      </c>
      <c r="EH11" s="13">
        <f t="shared" si="35"/>
        <v>92</v>
      </c>
      <c r="EI11" s="13">
        <f t="shared" si="36"/>
        <v>204</v>
      </c>
      <c r="EJ11" s="13">
        <f t="shared" si="37"/>
        <v>176</v>
      </c>
      <c r="EK11" s="13">
        <f t="shared" si="38"/>
        <v>-27</v>
      </c>
      <c r="EL11" s="14">
        <f t="shared" si="15"/>
        <v>5334</v>
      </c>
    </row>
    <row r="12" spans="1:142" x14ac:dyDescent="0.2">
      <c r="A12" s="12">
        <v>26</v>
      </c>
      <c r="B12" s="13">
        <v>289</v>
      </c>
      <c r="C12" s="13">
        <v>293</v>
      </c>
      <c r="D12" s="13">
        <v>321</v>
      </c>
      <c r="E12" s="13">
        <v>325</v>
      </c>
      <c r="F12" s="13">
        <v>343</v>
      </c>
      <c r="G12" s="13">
        <v>398</v>
      </c>
      <c r="H12" s="13">
        <v>406</v>
      </c>
      <c r="I12" s="13">
        <v>403</v>
      </c>
      <c r="J12" s="13">
        <v>303</v>
      </c>
      <c r="K12" s="13">
        <v>142</v>
      </c>
      <c r="L12" s="13">
        <v>364</v>
      </c>
      <c r="M12" s="13">
        <v>257</v>
      </c>
      <c r="N12" s="13">
        <v>261</v>
      </c>
      <c r="O12" s="13">
        <v>302</v>
      </c>
      <c r="P12" s="13">
        <v>228</v>
      </c>
      <c r="Q12" s="13">
        <v>523</v>
      </c>
      <c r="R12" s="13">
        <v>954</v>
      </c>
      <c r="S12" s="13">
        <v>417</v>
      </c>
      <c r="T12" s="13">
        <v>632</v>
      </c>
      <c r="U12" s="13">
        <v>832</v>
      </c>
      <c r="V12" s="13">
        <v>736</v>
      </c>
      <c r="W12" s="13">
        <v>263</v>
      </c>
      <c r="X12" s="13">
        <v>648</v>
      </c>
      <c r="Y12" s="13">
        <v>391</v>
      </c>
      <c r="Z12" s="14">
        <f>AVERAGE(B12:Y12)</f>
        <v>417.95833333333331</v>
      </c>
      <c r="AA12" s="15">
        <f>_xlfn.STDEV.P(B12:Y12)</f>
        <v>198.26885769216395</v>
      </c>
      <c r="AB12" s="13">
        <f t="shared" si="4"/>
        <v>-26.958333333333314</v>
      </c>
      <c r="AC12" s="19">
        <f t="shared" si="5"/>
        <v>0.93549995015452103</v>
      </c>
      <c r="AD12" s="14">
        <v>663</v>
      </c>
      <c r="AE12" s="17">
        <v>527</v>
      </c>
      <c r="AF12" s="17">
        <v>535</v>
      </c>
      <c r="AG12" s="17">
        <v>454</v>
      </c>
      <c r="AH12" s="17">
        <v>423</v>
      </c>
      <c r="AI12" s="17">
        <v>477</v>
      </c>
      <c r="AJ12" s="17">
        <v>481</v>
      </c>
      <c r="AK12" s="17">
        <v>566</v>
      </c>
      <c r="AL12" s="17">
        <v>471</v>
      </c>
      <c r="AM12" s="17">
        <v>461</v>
      </c>
      <c r="AN12" s="17">
        <v>418</v>
      </c>
      <c r="AO12" s="17">
        <v>335</v>
      </c>
      <c r="AP12" s="17">
        <v>503</v>
      </c>
      <c r="AQ12" s="17">
        <v>1233</v>
      </c>
      <c r="AR12" s="17">
        <v>934</v>
      </c>
      <c r="AS12" s="17">
        <v>1234</v>
      </c>
      <c r="AT12" s="17">
        <v>1711</v>
      </c>
      <c r="AU12" s="17">
        <v>1575</v>
      </c>
      <c r="AV12" s="17">
        <v>1773</v>
      </c>
      <c r="AW12" s="17">
        <v>1670</v>
      </c>
      <c r="AX12" s="17">
        <v>2114</v>
      </c>
      <c r="AY12" s="17">
        <v>2209</v>
      </c>
      <c r="AZ12" s="17">
        <v>2647</v>
      </c>
      <c r="BA12" s="40">
        <v>3850</v>
      </c>
      <c r="BB12" s="17">
        <f>AVERAGE(AD12:BA12)</f>
        <v>1136</v>
      </c>
      <c r="BC12" s="41">
        <f>_xlfn.STDEV.P(AD12:BB12)</f>
        <v>862.64690343152574</v>
      </c>
      <c r="BD12" s="17">
        <f>BA12-BB12</f>
        <v>2714</v>
      </c>
      <c r="BE12" s="42">
        <f>BA12/BB12</f>
        <v>3.3890845070422535</v>
      </c>
      <c r="BF12" s="13">
        <v>36</v>
      </c>
      <c r="BG12" s="13">
        <v>69</v>
      </c>
      <c r="BH12" s="13">
        <v>133</v>
      </c>
      <c r="BI12" s="13">
        <v>44</v>
      </c>
      <c r="BJ12" s="13">
        <v>27</v>
      </c>
      <c r="BK12" s="13">
        <v>56</v>
      </c>
      <c r="BL12" s="13">
        <v>115</v>
      </c>
      <c r="BM12" s="13">
        <v>125</v>
      </c>
      <c r="BN12" s="13">
        <v>223</v>
      </c>
      <c r="BO12" s="13">
        <v>201</v>
      </c>
      <c r="BP12" s="13">
        <v>34</v>
      </c>
      <c r="BQ12" s="13">
        <v>318</v>
      </c>
      <c r="BR12" s="13">
        <v>144</v>
      </c>
      <c r="BS12" s="13">
        <v>321</v>
      </c>
      <c r="BT12" s="13">
        <v>875</v>
      </c>
      <c r="BU12" s="13">
        <v>618</v>
      </c>
      <c r="BV12" s="13">
        <v>261</v>
      </c>
      <c r="BW12" s="13">
        <v>643</v>
      </c>
      <c r="BX12" s="13">
        <v>562</v>
      </c>
      <c r="BY12" s="13">
        <v>917</v>
      </c>
      <c r="BZ12" s="13">
        <v>942</v>
      </c>
      <c r="CA12" s="13">
        <v>936</v>
      </c>
      <c r="CB12" s="13">
        <v>58</v>
      </c>
      <c r="CC12" s="13">
        <v>629</v>
      </c>
      <c r="CD12" s="13">
        <v>326</v>
      </c>
      <c r="CE12" s="14">
        <f>AVERAGE(BF12:CD12)</f>
        <v>344.52</v>
      </c>
      <c r="CF12" s="41">
        <f>_xlfn.STDEV.P(BF12:CD12)</f>
        <v>313.80415803491195</v>
      </c>
      <c r="CG12" s="17">
        <f>MAX(BF12:CD12)</f>
        <v>942</v>
      </c>
      <c r="CH12" s="17">
        <f>AVERAGE(CB12:CD12)</f>
        <v>337.66666666666669</v>
      </c>
      <c r="CI12" s="41">
        <f>_xlfn.STDEV.P(CB12:CD12)</f>
        <v>233.25570137131101</v>
      </c>
      <c r="CJ12" s="41">
        <f>MAX(BY12:CD12)</f>
        <v>942</v>
      </c>
      <c r="CL12" s="23">
        <f t="shared" si="6"/>
        <v>18.127877237851663</v>
      </c>
      <c r="CM12" s="14">
        <f t="shared" si="7"/>
        <v>-551</v>
      </c>
      <c r="CN12" s="43">
        <f>100*IF(CM12&gt;0,CM12,0)</f>
        <v>0</v>
      </c>
      <c r="CO12" s="13">
        <f t="shared" si="8"/>
        <v>-551</v>
      </c>
      <c r="CP12" s="43">
        <f>100*IF(CO12&gt;0,CO12,0)</f>
        <v>0</v>
      </c>
      <c r="CQ12" s="13">
        <f>CE12+2*CF12</f>
        <v>972.12831606982388</v>
      </c>
      <c r="CR12" s="44">
        <f t="shared" si="9"/>
        <v>-581.12831606982388</v>
      </c>
      <c r="CS12" s="43">
        <f>100*IF(CR12&gt;0,CR12,0)</f>
        <v>0</v>
      </c>
      <c r="CU12" s="23">
        <f>SUM(BS12:CD12)/(0.8*BA12)</f>
        <v>2.3012987012987014</v>
      </c>
      <c r="CV12" s="14">
        <f>(0.65*AVERAGE(AD12:BA12))-CG12</f>
        <v>-203.60000000000002</v>
      </c>
      <c r="CW12" s="43">
        <f>20*IF(CV12&gt;0,CV12,0)</f>
        <v>0</v>
      </c>
      <c r="CX12" s="13">
        <f>0.8*BA12-CJ12</f>
        <v>2138</v>
      </c>
      <c r="CY12" s="43">
        <f>20*IF(CX12&gt;0,CX12,0)</f>
        <v>42760</v>
      </c>
      <c r="CZ12" s="13">
        <f>CE12+2*CF12</f>
        <v>972.12831606982388</v>
      </c>
      <c r="DA12" s="44">
        <f>0.8*BA12-CQ12</f>
        <v>2107.871683930176</v>
      </c>
      <c r="DB12" s="43">
        <f>20*IF(DA12&gt;0,DA12,0)</f>
        <v>42157.43367860352</v>
      </c>
      <c r="DD12" s="23">
        <f t="shared" si="10"/>
        <v>1.7027001056980877</v>
      </c>
      <c r="DE12" s="57">
        <f t="shared" si="16"/>
        <v>116100</v>
      </c>
      <c r="DF12" s="14">
        <f t="shared" si="11"/>
        <v>3220.8</v>
      </c>
      <c r="DG12" s="43">
        <f>20*IF(DF12&gt;0,DF12,0)</f>
        <v>64416</v>
      </c>
      <c r="DH12" s="13">
        <f t="shared" si="12"/>
        <v>3220.8</v>
      </c>
      <c r="DI12" s="43">
        <f>20*IF(DH12&gt;0,DH12,0)</f>
        <v>64416</v>
      </c>
      <c r="DJ12" s="13">
        <f>CH14+2*CI14</f>
        <v>102.37464618564547</v>
      </c>
      <c r="DK12" s="44">
        <f t="shared" si="13"/>
        <v>4060.4253538143548</v>
      </c>
      <c r="DL12" s="43">
        <f>20*IF(DK12&gt;0,DK12,0)</f>
        <v>81208.507076287089</v>
      </c>
      <c r="DN12" s="13">
        <v>0</v>
      </c>
      <c r="DO12" s="13">
        <f>(C12-B12)+(AE12-AD12)+BG12</f>
        <v>-63</v>
      </c>
      <c r="DP12" s="13">
        <f t="shared" si="17"/>
        <v>169</v>
      </c>
      <c r="DQ12" s="13">
        <f t="shared" si="18"/>
        <v>-33</v>
      </c>
      <c r="DR12" s="13">
        <f t="shared" si="19"/>
        <v>14</v>
      </c>
      <c r="DS12" s="13">
        <f t="shared" si="20"/>
        <v>165</v>
      </c>
      <c r="DT12" s="13">
        <f t="shared" si="21"/>
        <v>127</v>
      </c>
      <c r="DU12" s="13">
        <f t="shared" si="22"/>
        <v>207</v>
      </c>
      <c r="DV12" s="13">
        <f t="shared" si="23"/>
        <v>28</v>
      </c>
      <c r="DW12" s="13">
        <f t="shared" si="24"/>
        <v>30</v>
      </c>
      <c r="DX12" s="13">
        <f t="shared" si="25"/>
        <v>213</v>
      </c>
      <c r="DY12" s="13">
        <f t="shared" si="26"/>
        <v>128</v>
      </c>
      <c r="DZ12" s="13">
        <f t="shared" si="27"/>
        <v>316</v>
      </c>
      <c r="EA12" s="13">
        <f t="shared" si="28"/>
        <v>1092</v>
      </c>
      <c r="EB12" s="13">
        <f t="shared" si="29"/>
        <v>502</v>
      </c>
      <c r="EC12" s="13">
        <f t="shared" si="30"/>
        <v>1213</v>
      </c>
      <c r="ED12" s="13">
        <f t="shared" si="31"/>
        <v>1169</v>
      </c>
      <c r="EE12" s="13">
        <f t="shared" si="32"/>
        <v>-30</v>
      </c>
      <c r="EF12" s="13">
        <f t="shared" si="33"/>
        <v>975</v>
      </c>
      <c r="EG12" s="13">
        <f t="shared" si="34"/>
        <v>1014</v>
      </c>
      <c r="EH12" s="13">
        <f t="shared" si="35"/>
        <v>1290</v>
      </c>
      <c r="EI12" s="13">
        <f t="shared" si="36"/>
        <v>558</v>
      </c>
      <c r="EJ12" s="13">
        <f t="shared" si="37"/>
        <v>881</v>
      </c>
      <c r="EK12" s="13">
        <f t="shared" si="38"/>
        <v>1575</v>
      </c>
      <c r="EL12" s="14">
        <f t="shared" si="15"/>
        <v>11540</v>
      </c>
    </row>
    <row r="13" spans="1:142" x14ac:dyDescent="0.2">
      <c r="A13" s="12">
        <v>27</v>
      </c>
      <c r="B13" s="13">
        <v>414</v>
      </c>
      <c r="C13" s="13">
        <v>382</v>
      </c>
      <c r="D13" s="13">
        <v>444</v>
      </c>
      <c r="E13" s="13">
        <v>448</v>
      </c>
      <c r="F13" s="13">
        <v>405</v>
      </c>
      <c r="G13" s="13">
        <v>391</v>
      </c>
      <c r="H13" s="13">
        <v>259</v>
      </c>
      <c r="I13" s="13">
        <v>239</v>
      </c>
      <c r="J13" s="13">
        <v>202</v>
      </c>
      <c r="K13" s="13">
        <v>160</v>
      </c>
      <c r="L13" s="13">
        <v>210</v>
      </c>
      <c r="M13" s="13">
        <v>344</v>
      </c>
      <c r="N13" s="13">
        <v>332</v>
      </c>
      <c r="O13" s="13">
        <v>238</v>
      </c>
      <c r="P13" s="13">
        <v>357</v>
      </c>
      <c r="Q13" s="13">
        <v>550</v>
      </c>
      <c r="R13" s="13">
        <v>616</v>
      </c>
      <c r="S13" s="13">
        <v>660</v>
      </c>
      <c r="T13" s="13">
        <v>857</v>
      </c>
      <c r="U13" s="13">
        <v>691</v>
      </c>
      <c r="V13" s="13">
        <v>652</v>
      </c>
      <c r="W13" s="13">
        <v>620</v>
      </c>
      <c r="X13" s="13">
        <v>811</v>
      </c>
      <c r="Y13" s="13">
        <v>824</v>
      </c>
      <c r="Z13" s="14">
        <f>AVERAGE(B13:Y13)</f>
        <v>462.75</v>
      </c>
      <c r="AA13" s="15">
        <f>_xlfn.STDEV.P(B13:Y13)</f>
        <v>205.73146939639545</v>
      </c>
      <c r="AB13" s="13">
        <f t="shared" si="4"/>
        <v>361.25</v>
      </c>
      <c r="AC13" s="19">
        <f t="shared" si="5"/>
        <v>1.7806591031874663</v>
      </c>
      <c r="AD13" s="14">
        <v>1825</v>
      </c>
      <c r="AE13" s="17">
        <v>2049</v>
      </c>
      <c r="AF13" s="17">
        <v>1060</v>
      </c>
      <c r="AG13" s="17">
        <v>943</v>
      </c>
      <c r="AH13" s="17">
        <v>1621</v>
      </c>
      <c r="AI13" s="17">
        <v>1715</v>
      </c>
      <c r="AJ13" s="17">
        <v>1280</v>
      </c>
      <c r="AK13" s="17">
        <v>1297</v>
      </c>
      <c r="AL13" s="17">
        <v>1219</v>
      </c>
      <c r="AM13" s="17">
        <v>1238</v>
      </c>
      <c r="AN13" s="17">
        <v>952</v>
      </c>
      <c r="AO13" s="17">
        <v>1615</v>
      </c>
      <c r="AP13" s="17">
        <v>3041</v>
      </c>
      <c r="AQ13" s="17">
        <v>3893</v>
      </c>
      <c r="AR13" s="17">
        <v>4902</v>
      </c>
      <c r="AS13" s="17">
        <v>6035</v>
      </c>
      <c r="AT13" s="17">
        <v>6199</v>
      </c>
      <c r="AU13" s="17">
        <v>5943</v>
      </c>
      <c r="AV13" s="17">
        <v>6357</v>
      </c>
      <c r="AW13" s="17">
        <v>6317</v>
      </c>
      <c r="AX13" s="17">
        <v>6549</v>
      </c>
      <c r="AY13" s="17">
        <v>6612</v>
      </c>
      <c r="AZ13" s="17">
        <v>6586</v>
      </c>
      <c r="BA13" s="40">
        <v>7489</v>
      </c>
      <c r="BB13" s="17">
        <f>AVERAGE(AD13:BA13)</f>
        <v>3614.0416666666665</v>
      </c>
      <c r="BC13" s="41">
        <f>_xlfn.STDEV.P(AD13:BB13)</f>
        <v>2336.4807806471108</v>
      </c>
      <c r="BD13" s="17">
        <f>BA13-BB13</f>
        <v>3874.9583333333335</v>
      </c>
      <c r="BE13" s="42">
        <f>BA13/BB13</f>
        <v>2.07219525692611</v>
      </c>
      <c r="BF13" s="13">
        <v>23</v>
      </c>
      <c r="BG13" s="13">
        <v>51</v>
      </c>
      <c r="BH13" s="13">
        <v>38</v>
      </c>
      <c r="BI13" s="13">
        <v>425</v>
      </c>
      <c r="BJ13" s="13">
        <v>91</v>
      </c>
      <c r="BK13" s="13">
        <v>85</v>
      </c>
      <c r="BL13" s="13">
        <v>470</v>
      </c>
      <c r="BM13" s="13">
        <v>142</v>
      </c>
      <c r="BN13" s="13">
        <v>163</v>
      </c>
      <c r="BO13" s="13">
        <v>245</v>
      </c>
      <c r="BP13" s="13">
        <v>251</v>
      </c>
      <c r="BQ13" s="13">
        <v>180</v>
      </c>
      <c r="BR13" s="13">
        <v>341</v>
      </c>
      <c r="BS13" s="13">
        <v>450</v>
      </c>
      <c r="BT13" s="13">
        <v>115</v>
      </c>
      <c r="BU13" s="13">
        <v>71</v>
      </c>
      <c r="BV13" s="13">
        <v>153</v>
      </c>
      <c r="BW13" s="13">
        <v>216</v>
      </c>
      <c r="BX13" s="13">
        <v>201</v>
      </c>
      <c r="BY13" s="13">
        <v>243</v>
      </c>
      <c r="BZ13" s="13">
        <v>125</v>
      </c>
      <c r="CA13" s="13">
        <v>144</v>
      </c>
      <c r="CB13" s="13">
        <v>16</v>
      </c>
      <c r="CC13" s="13">
        <v>55</v>
      </c>
      <c r="CD13" s="13">
        <v>8</v>
      </c>
      <c r="CE13" s="14">
        <f>AVERAGE(BF13:CD13)</f>
        <v>172.08</v>
      </c>
      <c r="CF13" s="41">
        <f>_xlfn.STDEV.P(BF13:CD13)</f>
        <v>131.10970063271444</v>
      </c>
      <c r="CG13" s="17">
        <f>MAX(BF13:CD13)</f>
        <v>470</v>
      </c>
      <c r="CH13" s="17">
        <f>AVERAGE(CB13:CD13)</f>
        <v>26.333333333333332</v>
      </c>
      <c r="CI13" s="41">
        <f>_xlfn.STDEV.P(CB13:CD13)</f>
        <v>20.531818125912658</v>
      </c>
      <c r="CJ13" s="41">
        <f>MAX(BY13:CD13)</f>
        <v>243</v>
      </c>
      <c r="CL13" s="23">
        <f t="shared" si="6"/>
        <v>2.1808252427184467</v>
      </c>
      <c r="CM13" s="14">
        <f t="shared" si="7"/>
        <v>354</v>
      </c>
      <c r="CN13" s="43">
        <f>100*IF(CM13&gt;0,CM13,0)</f>
        <v>35400</v>
      </c>
      <c r="CO13" s="13">
        <f t="shared" si="8"/>
        <v>581</v>
      </c>
      <c r="CP13" s="43">
        <f>100*IF(CO13&gt;0,CO13,0)</f>
        <v>58100</v>
      </c>
      <c r="CQ13" s="13">
        <f>CE13+2*CF13</f>
        <v>434.29940126542886</v>
      </c>
      <c r="CR13" s="44">
        <f t="shared" si="9"/>
        <v>389.70059873457114</v>
      </c>
      <c r="CS13" s="43">
        <f>100*IF(CR13&gt;0,CR13,0)</f>
        <v>38970.059873457118</v>
      </c>
      <c r="CU13" s="23">
        <f>SUM(BS13:CD13)/(0.8*BA13)</f>
        <v>0.2999399118707437</v>
      </c>
      <c r="CV13" s="14">
        <f>(0.65*AVERAGE(AD13:BA13))-CG13</f>
        <v>1879.1270833333333</v>
      </c>
      <c r="CW13" s="43">
        <f>20*IF(CV13&gt;0,CV13,0)</f>
        <v>37582.541666666664</v>
      </c>
      <c r="CX13" s="13">
        <f>0.8*BA13-CJ13</f>
        <v>5748.2000000000007</v>
      </c>
      <c r="CY13" s="43">
        <f>20*IF(CX13&gt;0,CX13,0)</f>
        <v>114964.00000000001</v>
      </c>
      <c r="CZ13" s="13">
        <f>CE13+2*CF13</f>
        <v>434.29940126542886</v>
      </c>
      <c r="DA13" s="44">
        <f>0.8*BA13-CQ13</f>
        <v>5556.9005987345718</v>
      </c>
      <c r="DB13" s="43">
        <f>20*IF(DA13&gt;0,DA13,0)</f>
        <v>111138.01197469144</v>
      </c>
      <c r="DD13" s="23">
        <f t="shared" si="10"/>
        <v>0.22053950565769129</v>
      </c>
      <c r="DE13" s="57">
        <f t="shared" si="16"/>
        <v>232180</v>
      </c>
      <c r="DF13" s="14">
        <f t="shared" si="11"/>
        <v>7678.2</v>
      </c>
      <c r="DG13" s="43">
        <f>20*IF(DF13&gt;0,DF13,0)</f>
        <v>153564</v>
      </c>
      <c r="DH13" s="13">
        <f t="shared" si="12"/>
        <v>7905.2</v>
      </c>
      <c r="DI13" s="43">
        <f>20*IF(DH13&gt;0,DH13,0)</f>
        <v>158104</v>
      </c>
      <c r="DJ13" s="13">
        <f>CH15+2*CI15</f>
        <v>566.54148450907519</v>
      </c>
      <c r="DK13" s="44">
        <f t="shared" si="13"/>
        <v>7581.6585154909244</v>
      </c>
      <c r="DL13" s="43">
        <f>20*IF(DK13&gt;0,DK13,0)</f>
        <v>151633.1703098185</v>
      </c>
      <c r="DN13" s="13">
        <v>0</v>
      </c>
      <c r="DO13" s="13">
        <f>(C13-B13)+(AE13-AD13)+BG13</f>
        <v>243</v>
      </c>
      <c r="DP13" s="13">
        <f t="shared" si="17"/>
        <v>-889</v>
      </c>
      <c r="DQ13" s="13">
        <f t="shared" si="18"/>
        <v>312</v>
      </c>
      <c r="DR13" s="13">
        <f t="shared" si="19"/>
        <v>726</v>
      </c>
      <c r="DS13" s="13">
        <f t="shared" si="20"/>
        <v>165</v>
      </c>
      <c r="DT13" s="13">
        <f t="shared" si="21"/>
        <v>-97</v>
      </c>
      <c r="DU13" s="13">
        <f t="shared" si="22"/>
        <v>139</v>
      </c>
      <c r="DV13" s="13">
        <f t="shared" si="23"/>
        <v>48</v>
      </c>
      <c r="DW13" s="13">
        <f t="shared" si="24"/>
        <v>222</v>
      </c>
      <c r="DX13" s="13">
        <f t="shared" si="25"/>
        <v>15</v>
      </c>
      <c r="DY13" s="13">
        <f t="shared" si="26"/>
        <v>977</v>
      </c>
      <c r="DZ13" s="13">
        <f t="shared" si="27"/>
        <v>1755</v>
      </c>
      <c r="EA13" s="13">
        <f t="shared" si="28"/>
        <v>1208</v>
      </c>
      <c r="EB13" s="13">
        <f t="shared" si="29"/>
        <v>1243</v>
      </c>
      <c r="EC13" s="13">
        <f t="shared" si="30"/>
        <v>1397</v>
      </c>
      <c r="ED13" s="13">
        <f t="shared" si="31"/>
        <v>383</v>
      </c>
      <c r="EE13" s="13">
        <f t="shared" si="32"/>
        <v>4</v>
      </c>
      <c r="EF13" s="13">
        <f t="shared" si="33"/>
        <v>812</v>
      </c>
      <c r="EG13" s="13">
        <f t="shared" si="34"/>
        <v>37</v>
      </c>
      <c r="EH13" s="13">
        <f t="shared" si="35"/>
        <v>318</v>
      </c>
      <c r="EI13" s="13">
        <f t="shared" si="36"/>
        <v>175</v>
      </c>
      <c r="EJ13" s="13">
        <f t="shared" si="37"/>
        <v>181</v>
      </c>
      <c r="EK13" s="13">
        <f t="shared" si="38"/>
        <v>971</v>
      </c>
      <c r="EL13" s="14">
        <f t="shared" si="15"/>
        <v>10345</v>
      </c>
    </row>
    <row r="14" spans="1:142" x14ac:dyDescent="0.2">
      <c r="A14" s="12">
        <v>28</v>
      </c>
      <c r="B14" s="13">
        <v>1049</v>
      </c>
      <c r="C14" s="13">
        <v>1121</v>
      </c>
      <c r="D14" s="13">
        <v>1035</v>
      </c>
      <c r="E14" s="13">
        <v>730</v>
      </c>
      <c r="F14" s="13">
        <v>775</v>
      </c>
      <c r="G14" s="13">
        <v>617</v>
      </c>
      <c r="H14" s="13">
        <v>695</v>
      </c>
      <c r="I14" s="13">
        <v>498</v>
      </c>
      <c r="J14" s="13">
        <v>623</v>
      </c>
      <c r="K14" s="13">
        <v>490</v>
      </c>
      <c r="L14" s="13">
        <v>672</v>
      </c>
      <c r="M14" s="13">
        <v>633</v>
      </c>
      <c r="N14" s="13">
        <v>868</v>
      </c>
      <c r="O14" s="13">
        <v>916</v>
      </c>
      <c r="P14" s="13">
        <v>1026</v>
      </c>
      <c r="Q14" s="13">
        <v>1018</v>
      </c>
      <c r="R14" s="13">
        <v>1074</v>
      </c>
      <c r="S14" s="13">
        <v>1047</v>
      </c>
      <c r="T14" s="13">
        <v>713</v>
      </c>
      <c r="U14" s="13">
        <v>721</v>
      </c>
      <c r="V14" s="13">
        <v>529</v>
      </c>
      <c r="W14" s="13">
        <v>538</v>
      </c>
      <c r="X14" s="13">
        <v>872</v>
      </c>
      <c r="Y14" s="13">
        <v>1023</v>
      </c>
      <c r="Z14" s="14">
        <f>AVERAGE(B14:Y14)</f>
        <v>803.45833333333337</v>
      </c>
      <c r="AA14" s="15">
        <f>_xlfn.STDEV.P(B14:Y14)</f>
        <v>203.76640612203204</v>
      </c>
      <c r="AB14" s="13">
        <f t="shared" si="4"/>
        <v>219.54166666666663</v>
      </c>
      <c r="AC14" s="19">
        <f t="shared" si="5"/>
        <v>1.2732458642327438</v>
      </c>
      <c r="AD14" s="14">
        <v>1753</v>
      </c>
      <c r="AE14" s="17">
        <v>1706</v>
      </c>
      <c r="AF14" s="17">
        <v>1524</v>
      </c>
      <c r="AG14" s="17">
        <v>1604</v>
      </c>
      <c r="AH14" s="17">
        <v>2223</v>
      </c>
      <c r="AI14" s="17">
        <v>2371</v>
      </c>
      <c r="AJ14" s="17">
        <v>1719</v>
      </c>
      <c r="AK14" s="17">
        <v>1515</v>
      </c>
      <c r="AL14" s="17">
        <v>711</v>
      </c>
      <c r="AM14" s="17">
        <v>1105</v>
      </c>
      <c r="AN14" s="17">
        <v>972</v>
      </c>
      <c r="AO14" s="17">
        <v>1561</v>
      </c>
      <c r="AP14" s="17">
        <v>1761</v>
      </c>
      <c r="AQ14" s="17">
        <v>1494</v>
      </c>
      <c r="AR14" s="17">
        <v>2120</v>
      </c>
      <c r="AS14" s="17">
        <v>4921</v>
      </c>
      <c r="AT14" s="17">
        <v>5215</v>
      </c>
      <c r="AU14" s="17">
        <v>6014</v>
      </c>
      <c r="AV14" s="17">
        <v>7318</v>
      </c>
      <c r="AW14" s="17">
        <v>7339</v>
      </c>
      <c r="AX14" s="17">
        <v>6904</v>
      </c>
      <c r="AY14" s="17">
        <v>6611</v>
      </c>
      <c r="AZ14" s="17">
        <v>5545</v>
      </c>
      <c r="BA14" s="40">
        <v>7924</v>
      </c>
      <c r="BB14" s="17">
        <f>AVERAGE(AD14:BA14)</f>
        <v>3413.75</v>
      </c>
      <c r="BC14" s="41">
        <f>_xlfn.STDEV.P(AD14:BB14)</f>
        <v>2381.9446551085102</v>
      </c>
      <c r="BD14" s="17">
        <f>BA14-BB14</f>
        <v>4510.25</v>
      </c>
      <c r="BE14" s="42">
        <f>BA14/BB14</f>
        <v>2.3212010252654705</v>
      </c>
      <c r="BF14" s="13">
        <v>202</v>
      </c>
      <c r="BG14" s="13">
        <v>305</v>
      </c>
      <c r="BH14" s="13">
        <v>295</v>
      </c>
      <c r="BI14" s="13">
        <v>631</v>
      </c>
      <c r="BJ14" s="13">
        <v>73</v>
      </c>
      <c r="BK14" s="13">
        <v>205</v>
      </c>
      <c r="BL14" s="13">
        <v>606</v>
      </c>
      <c r="BM14" s="13">
        <v>339</v>
      </c>
      <c r="BN14" s="13">
        <v>198</v>
      </c>
      <c r="BO14" s="13">
        <v>189</v>
      </c>
      <c r="BP14" s="13">
        <v>519</v>
      </c>
      <c r="BQ14" s="13">
        <v>1222</v>
      </c>
      <c r="BR14" s="13">
        <v>1054</v>
      </c>
      <c r="BS14" s="13">
        <v>1725</v>
      </c>
      <c r="BT14" s="13">
        <v>932</v>
      </c>
      <c r="BU14" s="13">
        <v>743</v>
      </c>
      <c r="BV14" s="13">
        <v>122</v>
      </c>
      <c r="BW14" s="13">
        <v>246</v>
      </c>
      <c r="BX14" s="13">
        <v>302</v>
      </c>
      <c r="BY14" s="13">
        <v>390</v>
      </c>
      <c r="BZ14" s="13">
        <v>393</v>
      </c>
      <c r="CA14" s="13">
        <v>315</v>
      </c>
      <c r="CB14" s="13">
        <v>32</v>
      </c>
      <c r="CC14" s="13">
        <v>81</v>
      </c>
      <c r="CD14" s="13">
        <v>69</v>
      </c>
      <c r="CE14" s="14">
        <f>AVERAGE(BF14:CD14)</f>
        <v>447.52</v>
      </c>
      <c r="CF14" s="41">
        <f>_xlfn.STDEV.P(BF14:CD14)</f>
        <v>403.54331812086792</v>
      </c>
      <c r="CG14" s="17">
        <f>MAX(BF14:CD14)</f>
        <v>1725</v>
      </c>
      <c r="CH14" s="17">
        <f>AVERAGE(CB14:CD14)</f>
        <v>60.666666666666664</v>
      </c>
      <c r="CI14" s="41">
        <f>_xlfn.STDEV.P(CB14:CD14)</f>
        <v>20.853989759489405</v>
      </c>
      <c r="CJ14" s="41">
        <f>MAX(BY14:CD14)</f>
        <v>393</v>
      </c>
      <c r="CL14" s="23">
        <f t="shared" si="6"/>
        <v>5.2297165200391005</v>
      </c>
      <c r="CM14" s="14">
        <f t="shared" si="7"/>
        <v>-702</v>
      </c>
      <c r="CN14" s="43">
        <f>100*IF(CM14&gt;0,CM14,0)</f>
        <v>0</v>
      </c>
      <c r="CO14" s="13">
        <f t="shared" si="8"/>
        <v>630</v>
      </c>
      <c r="CP14" s="43">
        <f>100*IF(CO14&gt;0,CO14,0)</f>
        <v>63000</v>
      </c>
      <c r="CQ14" s="13">
        <f>CE14+2*CF14</f>
        <v>1254.6066362417359</v>
      </c>
      <c r="CR14" s="44">
        <f t="shared" si="9"/>
        <v>-231.60663624173594</v>
      </c>
      <c r="CS14" s="43">
        <f>100*IF(CR14&gt;0,CR14,0)</f>
        <v>0</v>
      </c>
      <c r="CU14" s="23">
        <f>SUM(BS14:CD14)/(0.8*BA14)</f>
        <v>0.84395507319535579</v>
      </c>
      <c r="CV14" s="14">
        <f>(0.65*AVERAGE(AD14:BA14))-CG14</f>
        <v>493.9375</v>
      </c>
      <c r="CW14" s="43">
        <f>20*IF(CV14&gt;0,CV14,0)</f>
        <v>9878.75</v>
      </c>
      <c r="CX14" s="13">
        <f>0.8*BA14-CJ14</f>
        <v>5946.2000000000007</v>
      </c>
      <c r="CY14" s="43">
        <f>20*IF(CX14&gt;0,CX14,0)</f>
        <v>118924.00000000001</v>
      </c>
      <c r="CZ14" s="13">
        <f>CE14+2*CF14</f>
        <v>1254.6066362417359</v>
      </c>
      <c r="DA14" s="44">
        <f>0.8*BA14-CQ14</f>
        <v>5084.5933637582648</v>
      </c>
      <c r="DB14" s="43">
        <f>20*IF(DA14&gt;0,DA14,0)</f>
        <v>101691.86727516529</v>
      </c>
      <c r="DD14" s="23">
        <f t="shared" si="10"/>
        <v>0.61196010248901911</v>
      </c>
      <c r="DE14" s="57">
        <f t="shared" si="16"/>
        <v>260780</v>
      </c>
      <c r="DF14" s="14">
        <f t="shared" si="11"/>
        <v>7017.4</v>
      </c>
      <c r="DG14" s="43">
        <f>20*IF(DF14&gt;0,DF14,0)</f>
        <v>140348</v>
      </c>
      <c r="DH14" s="13">
        <f t="shared" si="12"/>
        <v>8349.4</v>
      </c>
      <c r="DI14" s="43">
        <f>20*IF(DH14&gt;0,DH14,0)</f>
        <v>166988</v>
      </c>
      <c r="DJ14" s="13">
        <f>CH16+2*CI16</f>
        <v>57.701730120587271</v>
      </c>
      <c r="DK14" s="44">
        <f t="shared" si="13"/>
        <v>8684.6982698794127</v>
      </c>
      <c r="DL14" s="43">
        <f>20*IF(DK14&gt;0,DK14,0)</f>
        <v>173693.96539758827</v>
      </c>
      <c r="DN14" s="13">
        <v>0</v>
      </c>
      <c r="DO14" s="13">
        <f>(C14-B14)+(AE14-AD14)+BG14</f>
        <v>330</v>
      </c>
      <c r="DP14" s="13">
        <f t="shared" si="17"/>
        <v>27</v>
      </c>
      <c r="DQ14" s="13">
        <f t="shared" si="18"/>
        <v>406</v>
      </c>
      <c r="DR14" s="13">
        <f t="shared" si="19"/>
        <v>737</v>
      </c>
      <c r="DS14" s="13">
        <f t="shared" si="20"/>
        <v>195</v>
      </c>
      <c r="DT14" s="13">
        <f t="shared" si="21"/>
        <v>32</v>
      </c>
      <c r="DU14" s="13">
        <f t="shared" si="22"/>
        <v>-62</v>
      </c>
      <c r="DV14" s="13">
        <f t="shared" si="23"/>
        <v>-481</v>
      </c>
      <c r="DW14" s="13">
        <f t="shared" si="24"/>
        <v>450</v>
      </c>
      <c r="DX14" s="13">
        <f t="shared" si="25"/>
        <v>568</v>
      </c>
      <c r="DY14" s="13">
        <f t="shared" si="26"/>
        <v>1772</v>
      </c>
      <c r="DZ14" s="13">
        <f t="shared" si="27"/>
        <v>1489</v>
      </c>
      <c r="EA14" s="13">
        <f t="shared" si="28"/>
        <v>1506</v>
      </c>
      <c r="EB14" s="13">
        <f t="shared" si="29"/>
        <v>1668</v>
      </c>
      <c r="EC14" s="13">
        <f t="shared" si="30"/>
        <v>3536</v>
      </c>
      <c r="ED14" s="13">
        <f t="shared" si="31"/>
        <v>472</v>
      </c>
      <c r="EE14" s="13">
        <f t="shared" si="32"/>
        <v>1018</v>
      </c>
      <c r="EF14" s="13">
        <f t="shared" si="33"/>
        <v>1272</v>
      </c>
      <c r="EG14" s="13">
        <f t="shared" si="34"/>
        <v>419</v>
      </c>
      <c r="EH14" s="13">
        <f t="shared" si="35"/>
        <v>-234</v>
      </c>
      <c r="EI14" s="13">
        <f t="shared" si="36"/>
        <v>31</v>
      </c>
      <c r="EJ14" s="13">
        <f t="shared" si="37"/>
        <v>-700</v>
      </c>
      <c r="EK14" s="13">
        <f t="shared" si="38"/>
        <v>2611</v>
      </c>
      <c r="EL14" s="14">
        <f t="shared" si="15"/>
        <v>17062</v>
      </c>
    </row>
    <row r="15" spans="1:142" x14ac:dyDescent="0.2">
      <c r="A15" s="12">
        <v>29</v>
      </c>
      <c r="B15" s="13">
        <v>489</v>
      </c>
      <c r="C15" s="13">
        <v>556</v>
      </c>
      <c r="D15" s="13">
        <v>564</v>
      </c>
      <c r="E15" s="13">
        <v>428</v>
      </c>
      <c r="F15" s="13">
        <v>459</v>
      </c>
      <c r="G15" s="13">
        <v>469</v>
      </c>
      <c r="H15" s="13">
        <v>419</v>
      </c>
      <c r="I15" s="13">
        <v>255</v>
      </c>
      <c r="J15" s="13">
        <v>389</v>
      </c>
      <c r="K15" s="13">
        <v>205</v>
      </c>
      <c r="L15" s="13">
        <v>261</v>
      </c>
      <c r="M15" s="13">
        <v>462</v>
      </c>
      <c r="N15" s="13">
        <v>261</v>
      </c>
      <c r="O15" s="13">
        <v>368</v>
      </c>
      <c r="P15" s="13">
        <v>477</v>
      </c>
      <c r="Q15" s="13">
        <v>898</v>
      </c>
      <c r="R15" s="13">
        <v>1015</v>
      </c>
      <c r="S15" s="13">
        <v>947</v>
      </c>
      <c r="T15" s="13">
        <v>705</v>
      </c>
      <c r="U15" s="13">
        <v>658</v>
      </c>
      <c r="V15" s="13">
        <v>735</v>
      </c>
      <c r="W15" s="13">
        <v>694</v>
      </c>
      <c r="X15" s="13">
        <v>669</v>
      </c>
      <c r="Y15" s="13">
        <v>600</v>
      </c>
      <c r="Z15" s="14">
        <f>AVERAGE(B15:Y15)</f>
        <v>540.95833333333337</v>
      </c>
      <c r="AA15" s="15">
        <f>_xlfn.STDEV.P(B15:Y15)</f>
        <v>213.73045313483576</v>
      </c>
      <c r="AB15" s="13">
        <f t="shared" si="4"/>
        <v>59.041666666666629</v>
      </c>
      <c r="AC15" s="19">
        <f t="shared" si="5"/>
        <v>1.1091427251020565</v>
      </c>
      <c r="AD15" s="14">
        <v>1124</v>
      </c>
      <c r="AE15" s="17">
        <v>937</v>
      </c>
      <c r="AF15" s="17">
        <v>942</v>
      </c>
      <c r="AG15" s="17">
        <v>1089</v>
      </c>
      <c r="AH15" s="17">
        <v>1295</v>
      </c>
      <c r="AI15" s="17">
        <v>930</v>
      </c>
      <c r="AJ15" s="17">
        <v>1177</v>
      </c>
      <c r="AK15" s="17">
        <v>1044</v>
      </c>
      <c r="AL15" s="17">
        <v>708</v>
      </c>
      <c r="AM15" s="17">
        <v>606</v>
      </c>
      <c r="AN15" s="17">
        <v>474</v>
      </c>
      <c r="AO15" s="17">
        <v>880</v>
      </c>
      <c r="AP15" s="17">
        <v>1218</v>
      </c>
      <c r="AQ15" s="17">
        <v>2361</v>
      </c>
      <c r="AR15" s="17">
        <v>3282</v>
      </c>
      <c r="AS15" s="17">
        <v>4719</v>
      </c>
      <c r="AT15" s="17">
        <v>3296</v>
      </c>
      <c r="AU15" s="17">
        <v>2852</v>
      </c>
      <c r="AV15" s="17">
        <v>3036</v>
      </c>
      <c r="AW15" s="17">
        <v>2804</v>
      </c>
      <c r="AX15" s="17">
        <v>2310</v>
      </c>
      <c r="AY15" s="17">
        <v>2229</v>
      </c>
      <c r="AZ15" s="17">
        <v>1703</v>
      </c>
      <c r="BA15" s="40">
        <v>2393</v>
      </c>
      <c r="BB15" s="17">
        <f>AVERAGE(AD15:BA15)</f>
        <v>1808.7083333333333</v>
      </c>
      <c r="BC15" s="41">
        <f>_xlfn.STDEV.P(AD15:BB15)</f>
        <v>1052.4625781154089</v>
      </c>
      <c r="BD15" s="17">
        <f>BA15-BB15</f>
        <v>584.29166666666674</v>
      </c>
      <c r="BE15" s="42">
        <f>BA15/BB15</f>
        <v>1.3230436084682899</v>
      </c>
      <c r="BF15" s="13">
        <v>11</v>
      </c>
      <c r="BG15" s="13">
        <v>29</v>
      </c>
      <c r="BH15" s="13">
        <v>50</v>
      </c>
      <c r="BI15" s="13">
        <v>247</v>
      </c>
      <c r="BJ15" s="13">
        <v>44</v>
      </c>
      <c r="BK15" s="13">
        <v>56</v>
      </c>
      <c r="BL15" s="13">
        <v>183</v>
      </c>
      <c r="BM15" s="13">
        <v>263</v>
      </c>
      <c r="BN15" s="13">
        <v>212</v>
      </c>
      <c r="BO15" s="13">
        <v>429</v>
      </c>
      <c r="BP15" s="13">
        <v>142</v>
      </c>
      <c r="BQ15" s="13">
        <v>208</v>
      </c>
      <c r="BR15" s="13">
        <v>425</v>
      </c>
      <c r="BS15" s="13">
        <v>272</v>
      </c>
      <c r="BT15" s="13">
        <v>735</v>
      </c>
      <c r="BU15" s="13">
        <v>801</v>
      </c>
      <c r="BV15" s="13">
        <v>852</v>
      </c>
      <c r="BW15" s="13">
        <v>1010</v>
      </c>
      <c r="BX15" s="13">
        <v>543</v>
      </c>
      <c r="BY15" s="13">
        <v>123</v>
      </c>
      <c r="BZ15" s="13">
        <v>490</v>
      </c>
      <c r="CA15" s="13">
        <v>350</v>
      </c>
      <c r="CB15" s="13">
        <v>156</v>
      </c>
      <c r="CC15" s="13">
        <v>456</v>
      </c>
      <c r="CD15" s="13">
        <v>44</v>
      </c>
      <c r="CE15" s="14">
        <f>AVERAGE(BF15:CD15)</f>
        <v>325.24</v>
      </c>
      <c r="CF15" s="41">
        <f>_xlfn.STDEV.P(BF15:CD15)</f>
        <v>276.35575333254781</v>
      </c>
      <c r="CG15" s="17">
        <f>MAX(BF15:CD15)</f>
        <v>1010</v>
      </c>
      <c r="CH15" s="17">
        <f>AVERAGE(CB15:CD15)</f>
        <v>218.66666666666666</v>
      </c>
      <c r="CI15" s="41">
        <f>_xlfn.STDEV.P(CB15:CD15)</f>
        <v>173.93740892120425</v>
      </c>
      <c r="CJ15" s="41">
        <f>MAX(BY15:CD15)</f>
        <v>490</v>
      </c>
      <c r="CL15" s="23">
        <f t="shared" si="6"/>
        <v>9.7200000000000006</v>
      </c>
      <c r="CM15" s="14">
        <f t="shared" si="7"/>
        <v>-410</v>
      </c>
      <c r="CN15" s="43">
        <f>100*IF(CM15&gt;0,CM15,0)</f>
        <v>0</v>
      </c>
      <c r="CO15" s="13">
        <f t="shared" si="8"/>
        <v>110</v>
      </c>
      <c r="CP15" s="43">
        <f>100*IF(CO15&gt;0,CO15,0)</f>
        <v>11000</v>
      </c>
      <c r="CQ15" s="13">
        <f>CE15+2*CF15</f>
        <v>877.95150666509562</v>
      </c>
      <c r="CR15" s="44">
        <f t="shared" si="9"/>
        <v>-277.95150666509562</v>
      </c>
      <c r="CS15" s="43">
        <f>100*IF(CR15&gt;0,CR15,0)</f>
        <v>0</v>
      </c>
      <c r="CU15" s="23">
        <f>SUM(BS15:CD15)/(0.8*BA15)</f>
        <v>3.0463852904304218</v>
      </c>
      <c r="CV15" s="14">
        <f>(0.65*AVERAGE(AD15:BA15))-CG15</f>
        <v>165.66041666666661</v>
      </c>
      <c r="CW15" s="43">
        <f>20*IF(CV15&gt;0,CV15,0)</f>
        <v>3313.2083333333321</v>
      </c>
      <c r="CX15" s="13">
        <f>0.8*BA15-CJ15</f>
        <v>1424.4</v>
      </c>
      <c r="CY15" s="43">
        <f>20*IF(CX15&gt;0,CX15,0)</f>
        <v>28488</v>
      </c>
      <c r="CZ15" s="13">
        <f>CE15+2*CF15</f>
        <v>877.95150666509562</v>
      </c>
      <c r="DA15" s="44">
        <f>0.8*BA15-CQ15</f>
        <v>1036.4484933349045</v>
      </c>
      <c r="DB15" s="43">
        <f>20*IF(DA15&gt;0,DA15,0)</f>
        <v>20728.969866698091</v>
      </c>
      <c r="DD15" s="23">
        <f t="shared" si="10"/>
        <v>2.0299338670379394</v>
      </c>
      <c r="DE15" s="57">
        <f t="shared" si="16"/>
        <v>107860</v>
      </c>
      <c r="DF15" s="14">
        <f t="shared" si="11"/>
        <v>1863</v>
      </c>
      <c r="DG15" s="43">
        <f>20*IF(DF15&gt;0,DF15,0)</f>
        <v>37260</v>
      </c>
      <c r="DH15" s="13">
        <f t="shared" si="12"/>
        <v>2383</v>
      </c>
      <c r="DI15" s="43">
        <f>20*IF(DH15&gt;0,DH15,0)</f>
        <v>47660</v>
      </c>
      <c r="DJ15" s="13">
        <f>CH17+2*CI17</f>
        <v>27.57307052620807</v>
      </c>
      <c r="DK15" s="44">
        <f t="shared" si="13"/>
        <v>2845.4269294737919</v>
      </c>
      <c r="DL15" s="43">
        <f>20*IF(DK15&gt;0,DK15,0)</f>
        <v>56908.538589475836</v>
      </c>
      <c r="DN15" s="13">
        <v>0</v>
      </c>
      <c r="DO15" s="13">
        <f>(C15-B15)+(AE15-AD15)+BG15</f>
        <v>-91</v>
      </c>
      <c r="DP15" s="13">
        <f t="shared" si="17"/>
        <v>63</v>
      </c>
      <c r="DQ15" s="13">
        <f t="shared" si="18"/>
        <v>258</v>
      </c>
      <c r="DR15" s="13">
        <f t="shared" si="19"/>
        <v>281</v>
      </c>
      <c r="DS15" s="13">
        <f t="shared" si="20"/>
        <v>-299</v>
      </c>
      <c r="DT15" s="13">
        <f t="shared" si="21"/>
        <v>380</v>
      </c>
      <c r="DU15" s="13">
        <f t="shared" si="22"/>
        <v>-34</v>
      </c>
      <c r="DV15" s="13">
        <f t="shared" si="23"/>
        <v>10</v>
      </c>
      <c r="DW15" s="13">
        <f t="shared" si="24"/>
        <v>143</v>
      </c>
      <c r="DX15" s="13">
        <f t="shared" si="25"/>
        <v>66</v>
      </c>
      <c r="DY15" s="13">
        <f t="shared" si="26"/>
        <v>815</v>
      </c>
      <c r="DZ15" s="13">
        <f t="shared" si="27"/>
        <v>562</v>
      </c>
      <c r="EA15" s="13">
        <f t="shared" si="28"/>
        <v>1522</v>
      </c>
      <c r="EB15" s="13">
        <f t="shared" si="29"/>
        <v>1765</v>
      </c>
      <c r="EC15" s="13">
        <f t="shared" si="30"/>
        <v>2659</v>
      </c>
      <c r="ED15" s="13">
        <f t="shared" si="31"/>
        <v>-454</v>
      </c>
      <c r="EE15" s="13">
        <f t="shared" si="32"/>
        <v>498</v>
      </c>
      <c r="EF15" s="13">
        <f t="shared" si="33"/>
        <v>485</v>
      </c>
      <c r="EG15" s="13">
        <f t="shared" si="34"/>
        <v>-156</v>
      </c>
      <c r="EH15" s="13">
        <f t="shared" si="35"/>
        <v>73</v>
      </c>
      <c r="EI15" s="13">
        <f t="shared" si="36"/>
        <v>228</v>
      </c>
      <c r="EJ15" s="13">
        <f t="shared" si="37"/>
        <v>-395</v>
      </c>
      <c r="EK15" s="13">
        <f t="shared" si="38"/>
        <v>1077</v>
      </c>
      <c r="EL15" s="14">
        <f t="shared" si="15"/>
        <v>9456</v>
      </c>
    </row>
    <row r="16" spans="1:142" x14ac:dyDescent="0.2">
      <c r="A16" s="12">
        <v>30</v>
      </c>
      <c r="B16" s="13">
        <v>222</v>
      </c>
      <c r="C16" s="13">
        <v>187</v>
      </c>
      <c r="D16" s="13">
        <v>141</v>
      </c>
      <c r="E16" s="13">
        <v>146</v>
      </c>
      <c r="F16" s="13">
        <v>165</v>
      </c>
      <c r="G16" s="13">
        <v>163</v>
      </c>
      <c r="H16" s="13">
        <v>182</v>
      </c>
      <c r="I16" s="13">
        <v>152</v>
      </c>
      <c r="J16" s="13">
        <v>145</v>
      </c>
      <c r="K16" s="13">
        <v>182</v>
      </c>
      <c r="L16" s="13">
        <v>175</v>
      </c>
      <c r="M16" s="13">
        <v>211</v>
      </c>
      <c r="N16" s="13">
        <v>254</v>
      </c>
      <c r="O16" s="13">
        <v>292</v>
      </c>
      <c r="P16" s="13">
        <v>320</v>
      </c>
      <c r="Q16" s="13">
        <v>512</v>
      </c>
      <c r="R16" s="13">
        <v>572</v>
      </c>
      <c r="S16" s="13">
        <v>609</v>
      </c>
      <c r="T16" s="13">
        <v>511</v>
      </c>
      <c r="U16" s="13">
        <v>513</v>
      </c>
      <c r="V16" s="13">
        <v>585</v>
      </c>
      <c r="W16" s="13">
        <v>523</v>
      </c>
      <c r="X16" s="13">
        <v>552</v>
      </c>
      <c r="Y16" s="13">
        <v>564</v>
      </c>
      <c r="Z16" s="14">
        <f>AVERAGE(B16:Y16)</f>
        <v>328.25</v>
      </c>
      <c r="AA16" s="15">
        <f>_xlfn.STDEV.P(B16:Y16)</f>
        <v>177.25293838655162</v>
      </c>
      <c r="AB16" s="13">
        <f t="shared" si="4"/>
        <v>235.75</v>
      </c>
      <c r="AC16" s="19">
        <f t="shared" si="5"/>
        <v>1.7182025894897182</v>
      </c>
      <c r="AD16" s="14">
        <v>481</v>
      </c>
      <c r="AE16" s="17">
        <v>631</v>
      </c>
      <c r="AF16" s="17">
        <v>555</v>
      </c>
      <c r="AG16" s="17">
        <v>608</v>
      </c>
      <c r="AH16" s="17">
        <v>519</v>
      </c>
      <c r="AI16" s="17">
        <v>551</v>
      </c>
      <c r="AJ16" s="17">
        <v>551</v>
      </c>
      <c r="AK16" s="17">
        <v>691</v>
      </c>
      <c r="AL16" s="17">
        <v>531</v>
      </c>
      <c r="AM16" s="17">
        <v>525</v>
      </c>
      <c r="AN16" s="17">
        <v>467</v>
      </c>
      <c r="AO16" s="17">
        <v>343</v>
      </c>
      <c r="AP16" s="17">
        <v>1243</v>
      </c>
      <c r="AQ16" s="17">
        <v>1340</v>
      </c>
      <c r="AR16" s="17">
        <v>1459</v>
      </c>
      <c r="AS16" s="17">
        <v>1439</v>
      </c>
      <c r="AT16" s="17">
        <v>1266</v>
      </c>
      <c r="AU16" s="17">
        <v>1058</v>
      </c>
      <c r="AV16" s="17">
        <v>1041</v>
      </c>
      <c r="AW16" s="17">
        <v>1006</v>
      </c>
      <c r="AX16" s="17">
        <v>838</v>
      </c>
      <c r="AY16" s="17">
        <v>771</v>
      </c>
      <c r="AZ16" s="17">
        <v>749</v>
      </c>
      <c r="BA16" s="40">
        <v>985</v>
      </c>
      <c r="BB16" s="17">
        <f>AVERAGE(AD16:BA16)</f>
        <v>818.66666666666663</v>
      </c>
      <c r="BC16" s="41">
        <f>_xlfn.STDEV.P(AD16:BB16)</f>
        <v>325.89662982813019</v>
      </c>
      <c r="BD16" s="17">
        <f>BA16-BB16</f>
        <v>166.33333333333337</v>
      </c>
      <c r="BE16" s="42">
        <f>BA16/BB16</f>
        <v>1.2031758957654723</v>
      </c>
      <c r="BF16" s="13">
        <v>17</v>
      </c>
      <c r="BG16" s="13">
        <v>2</v>
      </c>
      <c r="BH16" s="13">
        <v>33</v>
      </c>
      <c r="BI16" s="13">
        <v>71</v>
      </c>
      <c r="BJ16" s="13">
        <v>19</v>
      </c>
      <c r="BK16" s="13">
        <v>42</v>
      </c>
      <c r="BL16" s="13">
        <v>54</v>
      </c>
      <c r="BM16" s="13">
        <v>59</v>
      </c>
      <c r="BN16" s="13">
        <v>52</v>
      </c>
      <c r="BO16" s="13">
        <v>6</v>
      </c>
      <c r="BP16" s="13">
        <v>32</v>
      </c>
      <c r="BQ16" s="13">
        <v>96</v>
      </c>
      <c r="BR16" s="13">
        <v>43</v>
      </c>
      <c r="BS16" s="13">
        <v>45</v>
      </c>
      <c r="BT16" s="13">
        <v>76</v>
      </c>
      <c r="BU16" s="13">
        <v>186</v>
      </c>
      <c r="BV16" s="13">
        <v>74</v>
      </c>
      <c r="BW16" s="13">
        <v>188</v>
      </c>
      <c r="BX16" s="13">
        <v>198</v>
      </c>
      <c r="BY16" s="13">
        <v>109</v>
      </c>
      <c r="BZ16" s="13">
        <v>72</v>
      </c>
      <c r="CA16" s="13">
        <v>208</v>
      </c>
      <c r="CB16" s="13">
        <v>15</v>
      </c>
      <c r="CC16" s="13">
        <v>37</v>
      </c>
      <c r="CD16" s="13">
        <v>45</v>
      </c>
      <c r="CE16" s="14">
        <f>AVERAGE(BF16:CD16)</f>
        <v>71.16</v>
      </c>
      <c r="CF16" s="41">
        <f>_xlfn.STDEV.P(BF16:CD16)</f>
        <v>59.849598160722849</v>
      </c>
      <c r="CG16" s="17">
        <f>MAX(BF16:CD16)</f>
        <v>208</v>
      </c>
      <c r="CH16" s="17">
        <f>AVERAGE(CB16:CD16)</f>
        <v>32.333333333333336</v>
      </c>
      <c r="CI16" s="41">
        <f>_xlfn.STDEV.P(CB16:CD16)</f>
        <v>12.684198393626966</v>
      </c>
      <c r="CJ16" s="41">
        <f>MAX(BY16:CD16)</f>
        <v>208</v>
      </c>
      <c r="CL16" s="23">
        <f t="shared" si="6"/>
        <v>2.2216312056737588</v>
      </c>
      <c r="CM16" s="14">
        <f t="shared" si="7"/>
        <v>356</v>
      </c>
      <c r="CN16" s="43">
        <f>100*IF(CM16&gt;0,CM16,0)</f>
        <v>35600</v>
      </c>
      <c r="CO16" s="13">
        <f t="shared" si="8"/>
        <v>356</v>
      </c>
      <c r="CP16" s="43">
        <f>100*IF(CO16&gt;0,CO16,0)</f>
        <v>35600</v>
      </c>
      <c r="CQ16" s="13">
        <f>CE16+2*CF16</f>
        <v>190.85919632144569</v>
      </c>
      <c r="CR16" s="44">
        <f t="shared" si="9"/>
        <v>373.14080367855433</v>
      </c>
      <c r="CS16" s="43">
        <f>100*IF(CR16&gt;0,CR16,0)</f>
        <v>37314.080367855437</v>
      </c>
      <c r="CU16" s="23">
        <f>SUM(BS16:CD16)/(0.8*BA16)</f>
        <v>1.5901015228426396</v>
      </c>
      <c r="CV16" s="14">
        <f>(0.65*AVERAGE(AD16:BA16))-CG16</f>
        <v>324.13333333333333</v>
      </c>
      <c r="CW16" s="43">
        <f>20*IF(CV16&gt;0,CV16,0)</f>
        <v>6482.6666666666661</v>
      </c>
      <c r="CX16" s="13">
        <f>0.8*BA16-CJ16</f>
        <v>580</v>
      </c>
      <c r="CY16" s="43">
        <f>20*IF(CX16&gt;0,CX16,0)</f>
        <v>11600</v>
      </c>
      <c r="CZ16" s="13">
        <f>CE16+2*CF16</f>
        <v>190.85919632144569</v>
      </c>
      <c r="DA16" s="44">
        <f>0.8*BA16-CQ16</f>
        <v>597.14080367855433</v>
      </c>
      <c r="DB16" s="43">
        <f>20*IF(DA16&gt;0,DA16,0)</f>
        <v>11942.816073571086</v>
      </c>
      <c r="DD16" s="23">
        <f t="shared" si="10"/>
        <v>0.87244116418326134</v>
      </c>
      <c r="DE16" s="57">
        <f t="shared" si="16"/>
        <v>76100</v>
      </c>
      <c r="DF16" s="14">
        <f t="shared" si="11"/>
        <v>1228.2</v>
      </c>
      <c r="DG16" s="43">
        <f>20*IF(DF16&gt;0,DF16,0)</f>
        <v>24564</v>
      </c>
      <c r="DH16" s="13">
        <f t="shared" si="12"/>
        <v>1228.2</v>
      </c>
      <c r="DI16" s="43">
        <f>20*IF(DH16&gt;0,DH16,0)</f>
        <v>24564</v>
      </c>
      <c r="DJ16" s="13">
        <f>CH18+2*CI18</f>
        <v>60.506829836393464</v>
      </c>
      <c r="DK16" s="44">
        <f t="shared" si="13"/>
        <v>1375.6931701636065</v>
      </c>
      <c r="DL16" s="43">
        <f>20*IF(DK16&gt;0,DK16,0)</f>
        <v>27513.863403272131</v>
      </c>
      <c r="DN16" s="13">
        <v>0</v>
      </c>
      <c r="DO16" s="13">
        <f>(C16-B16)+(AE16-AD16)+BG16</f>
        <v>117</v>
      </c>
      <c r="DP16" s="13">
        <f t="shared" si="17"/>
        <v>-89</v>
      </c>
      <c r="DQ16" s="13">
        <f t="shared" si="18"/>
        <v>129</v>
      </c>
      <c r="DR16" s="13">
        <f t="shared" si="19"/>
        <v>-51</v>
      </c>
      <c r="DS16" s="13">
        <f t="shared" si="20"/>
        <v>72</v>
      </c>
      <c r="DT16" s="13">
        <f t="shared" si="21"/>
        <v>73</v>
      </c>
      <c r="DU16" s="13">
        <f t="shared" si="22"/>
        <v>169</v>
      </c>
      <c r="DV16" s="13">
        <f t="shared" si="23"/>
        <v>-115</v>
      </c>
      <c r="DW16" s="13">
        <f t="shared" si="24"/>
        <v>37</v>
      </c>
      <c r="DX16" s="13">
        <f t="shared" si="25"/>
        <v>-33</v>
      </c>
      <c r="DY16" s="13">
        <f t="shared" si="26"/>
        <v>8</v>
      </c>
      <c r="DZ16" s="13">
        <f t="shared" si="27"/>
        <v>986</v>
      </c>
      <c r="EA16" s="13">
        <f t="shared" si="28"/>
        <v>180</v>
      </c>
      <c r="EB16" s="13">
        <f t="shared" si="29"/>
        <v>223</v>
      </c>
      <c r="EC16" s="13">
        <f t="shared" si="30"/>
        <v>358</v>
      </c>
      <c r="ED16" s="13">
        <f t="shared" si="31"/>
        <v>-39</v>
      </c>
      <c r="EE16" s="13">
        <f t="shared" si="32"/>
        <v>17</v>
      </c>
      <c r="EF16" s="13">
        <f t="shared" si="33"/>
        <v>83</v>
      </c>
      <c r="EG16" s="13">
        <f t="shared" si="34"/>
        <v>76</v>
      </c>
      <c r="EH16" s="13">
        <f t="shared" si="35"/>
        <v>-24</v>
      </c>
      <c r="EI16" s="13">
        <f t="shared" si="36"/>
        <v>79</v>
      </c>
      <c r="EJ16" s="13">
        <f t="shared" si="37"/>
        <v>22</v>
      </c>
      <c r="EK16" s="13">
        <f t="shared" si="38"/>
        <v>285</v>
      </c>
      <c r="EL16" s="14">
        <f t="shared" si="15"/>
        <v>2563</v>
      </c>
    </row>
    <row r="17" spans="1:142" x14ac:dyDescent="0.2">
      <c r="A17" s="12">
        <v>31</v>
      </c>
      <c r="B17" s="13">
        <v>302</v>
      </c>
      <c r="C17" s="13">
        <v>316</v>
      </c>
      <c r="D17" s="13">
        <v>238</v>
      </c>
      <c r="E17" s="13">
        <v>218</v>
      </c>
      <c r="F17" s="13">
        <v>143</v>
      </c>
      <c r="G17" s="13">
        <v>173</v>
      </c>
      <c r="H17" s="13">
        <v>71</v>
      </c>
      <c r="I17" s="13">
        <v>61</v>
      </c>
      <c r="J17" s="13">
        <v>264</v>
      </c>
      <c r="K17" s="13">
        <v>143</v>
      </c>
      <c r="L17" s="13">
        <v>135</v>
      </c>
      <c r="M17" s="13">
        <v>200</v>
      </c>
      <c r="N17" s="13">
        <v>213</v>
      </c>
      <c r="O17" s="13">
        <v>197</v>
      </c>
      <c r="P17" s="13">
        <v>159</v>
      </c>
      <c r="Q17" s="13">
        <v>160</v>
      </c>
      <c r="R17" s="13">
        <v>186</v>
      </c>
      <c r="S17" s="13">
        <v>233</v>
      </c>
      <c r="T17" s="13">
        <v>217</v>
      </c>
      <c r="U17" s="13">
        <v>202</v>
      </c>
      <c r="V17" s="13">
        <v>207</v>
      </c>
      <c r="W17" s="13">
        <v>109</v>
      </c>
      <c r="X17" s="13">
        <v>156</v>
      </c>
      <c r="Y17" s="13">
        <v>187</v>
      </c>
      <c r="Z17" s="14">
        <f>AVERAGE(B17:Y17)</f>
        <v>187.08333333333334</v>
      </c>
      <c r="AA17" s="15">
        <f>_xlfn.STDEV.P(B17:Y17)</f>
        <v>60.76108723699916</v>
      </c>
      <c r="AB17" s="13">
        <f t="shared" si="4"/>
        <v>-8.3333333333342807E-2</v>
      </c>
      <c r="AC17" s="19">
        <f t="shared" si="5"/>
        <v>0.99955456570155898</v>
      </c>
      <c r="AD17" s="14">
        <v>285</v>
      </c>
      <c r="AE17" s="17">
        <v>406</v>
      </c>
      <c r="AF17" s="17">
        <v>338</v>
      </c>
      <c r="AG17" s="17">
        <v>227</v>
      </c>
      <c r="AH17" s="17">
        <v>213</v>
      </c>
      <c r="AI17" s="17">
        <v>213</v>
      </c>
      <c r="AJ17" s="17">
        <v>154</v>
      </c>
      <c r="AK17" s="17">
        <v>143</v>
      </c>
      <c r="AL17" s="17">
        <v>245</v>
      </c>
      <c r="AM17" s="17">
        <v>274</v>
      </c>
      <c r="AN17" s="17">
        <v>174</v>
      </c>
      <c r="AO17" s="17">
        <v>156</v>
      </c>
      <c r="AP17" s="17">
        <v>457</v>
      </c>
      <c r="AQ17" s="17">
        <v>355</v>
      </c>
      <c r="AR17" s="17">
        <v>525</v>
      </c>
      <c r="AS17" s="17">
        <v>658</v>
      </c>
      <c r="AT17" s="17">
        <v>553</v>
      </c>
      <c r="AU17" s="17">
        <v>529</v>
      </c>
      <c r="AV17" s="17">
        <v>500</v>
      </c>
      <c r="AW17" s="17">
        <v>483</v>
      </c>
      <c r="AX17" s="17">
        <v>485</v>
      </c>
      <c r="AY17" s="17">
        <v>468</v>
      </c>
      <c r="AZ17" s="17">
        <v>507</v>
      </c>
      <c r="BA17" s="40">
        <v>497</v>
      </c>
      <c r="BB17" s="17">
        <f>AVERAGE(AD17:BA17)</f>
        <v>368.54166666666669</v>
      </c>
      <c r="BC17" s="41">
        <f>_xlfn.STDEV.P(AD17:BB17)</f>
        <v>147.97404614773961</v>
      </c>
      <c r="BD17" s="17">
        <f>BA17-BB17</f>
        <v>128.45833333333331</v>
      </c>
      <c r="BE17" s="42">
        <f>BA17/BB17</f>
        <v>1.3485585076314301</v>
      </c>
      <c r="BF17" s="13">
        <v>125</v>
      </c>
      <c r="BG17" s="13">
        <v>13</v>
      </c>
      <c r="BH17" s="13">
        <v>27</v>
      </c>
      <c r="BI17" s="13">
        <v>142</v>
      </c>
      <c r="BJ17" s="13">
        <v>104</v>
      </c>
      <c r="BK17" s="13">
        <v>7</v>
      </c>
      <c r="BL17" s="13">
        <v>122</v>
      </c>
      <c r="BM17" s="13">
        <v>141</v>
      </c>
      <c r="BN17" s="13">
        <v>168</v>
      </c>
      <c r="BO17" s="13">
        <v>380</v>
      </c>
      <c r="BP17" s="13">
        <v>155</v>
      </c>
      <c r="BQ17" s="13">
        <v>76</v>
      </c>
      <c r="BR17" s="13">
        <v>227</v>
      </c>
      <c r="BS17" s="13">
        <v>215</v>
      </c>
      <c r="BT17" s="13">
        <v>94</v>
      </c>
      <c r="BU17" s="13">
        <v>56</v>
      </c>
      <c r="BV17" s="13">
        <v>38</v>
      </c>
      <c r="BW17" s="13">
        <v>81</v>
      </c>
      <c r="BX17" s="13">
        <v>112</v>
      </c>
      <c r="BY17" s="13">
        <v>44</v>
      </c>
      <c r="BZ17" s="13">
        <v>51</v>
      </c>
      <c r="CA17" s="13">
        <v>69</v>
      </c>
      <c r="CB17" s="13">
        <v>0</v>
      </c>
      <c r="CC17" s="13">
        <v>20</v>
      </c>
      <c r="CD17" s="13">
        <v>13</v>
      </c>
      <c r="CE17" s="14">
        <f>AVERAGE(BF17:CD17)</f>
        <v>99.2</v>
      </c>
      <c r="CF17" s="41">
        <f>_xlfn.STDEV.P(BF17:CD17)</f>
        <v>84.585577966932405</v>
      </c>
      <c r="CG17" s="17">
        <f>MAX(BF17:CD17)</f>
        <v>380</v>
      </c>
      <c r="CH17" s="17">
        <f>AVERAGE(CB17:CD17)</f>
        <v>11</v>
      </c>
      <c r="CI17" s="41">
        <f>_xlfn.STDEV.P(CB17:CD17)</f>
        <v>8.2865352631040352</v>
      </c>
      <c r="CJ17" s="41">
        <f>MAX(BY17:CD17)</f>
        <v>69</v>
      </c>
      <c r="CL17" s="23">
        <f t="shared" si="6"/>
        <v>4.2406417112299462</v>
      </c>
      <c r="CM17" s="14">
        <f t="shared" si="7"/>
        <v>-193</v>
      </c>
      <c r="CN17" s="43">
        <f>100*IF(CM17&gt;0,CM17,0)</f>
        <v>0</v>
      </c>
      <c r="CO17" s="13">
        <f t="shared" si="8"/>
        <v>118</v>
      </c>
      <c r="CP17" s="43">
        <f>100*IF(CO17&gt;0,CO17,0)</f>
        <v>11800</v>
      </c>
      <c r="CQ17" s="13">
        <f>CE17+2*CF17</f>
        <v>268.37115593386483</v>
      </c>
      <c r="CR17" s="44">
        <f t="shared" si="9"/>
        <v>-81.371155933864827</v>
      </c>
      <c r="CS17" s="43">
        <f>100*IF(CR17&gt;0,CR17,0)</f>
        <v>0</v>
      </c>
      <c r="CU17" s="23">
        <f>SUM(BS17:CD17)/(0.8*BA17)</f>
        <v>1.994466800804829</v>
      </c>
      <c r="CV17" s="14">
        <f>(0.65*AVERAGE(AD17:BA17))-CG17</f>
        <v>-140.44791666666666</v>
      </c>
      <c r="CW17" s="43">
        <f>20*IF(CV17&gt;0,CV17,0)</f>
        <v>0</v>
      </c>
      <c r="CX17" s="13">
        <f>0.8*BA17-CJ17</f>
        <v>328.6</v>
      </c>
      <c r="CY17" s="43">
        <f>20*IF(CX17&gt;0,CX17,0)</f>
        <v>6572</v>
      </c>
      <c r="CZ17" s="13">
        <f>CE17+2*CF17</f>
        <v>268.37115593386483</v>
      </c>
      <c r="DA17" s="44">
        <f>0.8*BA17-CQ17</f>
        <v>129.2288440661352</v>
      </c>
      <c r="DB17" s="43">
        <f>20*IF(DA17&gt;0,DA17,0)</f>
        <v>2584.5768813227041</v>
      </c>
      <c r="DD17" s="23">
        <f t="shared" si="10"/>
        <v>1.2264150943396226</v>
      </c>
      <c r="DE17" s="57">
        <f t="shared" si="16"/>
        <v>28640</v>
      </c>
      <c r="DF17" s="14">
        <f t="shared" si="11"/>
        <v>266.60000000000002</v>
      </c>
      <c r="DG17" s="43">
        <f>20*IF(DF17&gt;0,DF17,0)</f>
        <v>5332</v>
      </c>
      <c r="DH17" s="13">
        <f t="shared" si="12"/>
        <v>577.6</v>
      </c>
      <c r="DI17" s="43">
        <f>20*IF(DH17&gt;0,DH17,0)</f>
        <v>11552</v>
      </c>
      <c r="DJ17" s="13">
        <f>CH19+2*CI19</f>
        <v>329.81407407232086</v>
      </c>
      <c r="DK17" s="44">
        <f t="shared" si="13"/>
        <v>316.78592592767916</v>
      </c>
      <c r="DL17" s="43">
        <f>20*IF(DK17&gt;0,DK17,0)</f>
        <v>6335.7185185535836</v>
      </c>
      <c r="DN17" s="13">
        <v>0</v>
      </c>
      <c r="DO17" s="13">
        <f>(C17-B17)+(AE17-AD17)+BG17</f>
        <v>148</v>
      </c>
      <c r="DP17" s="13">
        <f t="shared" si="17"/>
        <v>-119</v>
      </c>
      <c r="DQ17" s="13">
        <f t="shared" si="18"/>
        <v>11</v>
      </c>
      <c r="DR17" s="13">
        <f t="shared" si="19"/>
        <v>15</v>
      </c>
      <c r="DS17" s="13">
        <f t="shared" si="20"/>
        <v>37</v>
      </c>
      <c r="DT17" s="13">
        <f t="shared" si="21"/>
        <v>-39</v>
      </c>
      <c r="DU17" s="13">
        <f t="shared" si="22"/>
        <v>120</v>
      </c>
      <c r="DV17" s="13">
        <f t="shared" si="23"/>
        <v>473</v>
      </c>
      <c r="DW17" s="13">
        <f t="shared" si="24"/>
        <v>288</v>
      </c>
      <c r="DX17" s="13">
        <f t="shared" si="25"/>
        <v>47</v>
      </c>
      <c r="DY17" s="13">
        <f t="shared" si="26"/>
        <v>123</v>
      </c>
      <c r="DZ17" s="13">
        <f t="shared" si="27"/>
        <v>541</v>
      </c>
      <c r="EA17" s="13">
        <f t="shared" si="28"/>
        <v>97</v>
      </c>
      <c r="EB17" s="13">
        <f t="shared" si="29"/>
        <v>226</v>
      </c>
      <c r="EC17" s="13">
        <f t="shared" si="30"/>
        <v>190</v>
      </c>
      <c r="ED17" s="13">
        <f t="shared" si="31"/>
        <v>-41</v>
      </c>
      <c r="EE17" s="13">
        <f t="shared" si="32"/>
        <v>104</v>
      </c>
      <c r="EF17" s="13">
        <f t="shared" si="33"/>
        <v>67</v>
      </c>
      <c r="EG17" s="13">
        <f t="shared" si="34"/>
        <v>12</v>
      </c>
      <c r="EH17" s="13">
        <f t="shared" si="35"/>
        <v>58</v>
      </c>
      <c r="EI17" s="13">
        <f t="shared" si="36"/>
        <v>-46</v>
      </c>
      <c r="EJ17" s="13">
        <f t="shared" si="37"/>
        <v>86</v>
      </c>
      <c r="EK17" s="13">
        <f t="shared" si="38"/>
        <v>41</v>
      </c>
      <c r="EL17" s="14">
        <f t="shared" si="15"/>
        <v>2439</v>
      </c>
    </row>
    <row r="18" spans="1:142" x14ac:dyDescent="0.2">
      <c r="A18" s="12">
        <v>32</v>
      </c>
      <c r="B18" s="13">
        <v>340</v>
      </c>
      <c r="C18" s="13">
        <v>293</v>
      </c>
      <c r="D18" s="13">
        <v>225</v>
      </c>
      <c r="E18" s="13">
        <v>367</v>
      </c>
      <c r="F18" s="13">
        <v>332</v>
      </c>
      <c r="G18" s="13">
        <v>288</v>
      </c>
      <c r="H18" s="13">
        <v>218</v>
      </c>
      <c r="I18" s="13">
        <v>176</v>
      </c>
      <c r="J18" s="13">
        <v>225</v>
      </c>
      <c r="K18" s="13">
        <v>244</v>
      </c>
      <c r="L18" s="13">
        <v>224</v>
      </c>
      <c r="M18" s="13">
        <v>340</v>
      </c>
      <c r="N18" s="13">
        <v>317</v>
      </c>
      <c r="O18" s="13">
        <v>175</v>
      </c>
      <c r="P18" s="13">
        <v>160</v>
      </c>
      <c r="Q18" s="13">
        <v>198</v>
      </c>
      <c r="R18" s="13">
        <v>196</v>
      </c>
      <c r="S18" s="13">
        <v>197</v>
      </c>
      <c r="T18" s="13">
        <v>160</v>
      </c>
      <c r="U18" s="13">
        <v>176</v>
      </c>
      <c r="V18" s="13">
        <v>238</v>
      </c>
      <c r="W18" s="13">
        <v>277</v>
      </c>
      <c r="X18" s="13">
        <v>284</v>
      </c>
      <c r="Y18" s="13">
        <v>251</v>
      </c>
      <c r="Z18" s="14">
        <f>AVERAGE(B18:Y18)</f>
        <v>245.875</v>
      </c>
      <c r="AA18" s="15">
        <f>_xlfn.STDEV.P(B18:Y18)</f>
        <v>61.308178152130189</v>
      </c>
      <c r="AB18" s="13">
        <f t="shared" si="4"/>
        <v>5.125</v>
      </c>
      <c r="AC18" s="19">
        <f t="shared" si="5"/>
        <v>1.0208439247585155</v>
      </c>
      <c r="AD18" s="14">
        <v>1382</v>
      </c>
      <c r="AE18" s="17">
        <v>1497</v>
      </c>
      <c r="AF18" s="17">
        <v>806</v>
      </c>
      <c r="AG18" s="17">
        <v>842</v>
      </c>
      <c r="AH18" s="17">
        <v>801</v>
      </c>
      <c r="AI18" s="17">
        <v>876</v>
      </c>
      <c r="AJ18" s="17">
        <v>1367</v>
      </c>
      <c r="AK18" s="17">
        <v>1732</v>
      </c>
      <c r="AL18" s="17">
        <v>1904</v>
      </c>
      <c r="AM18" s="17">
        <v>1979</v>
      </c>
      <c r="AN18" s="17">
        <v>1930</v>
      </c>
      <c r="AO18" s="17">
        <v>2314</v>
      </c>
      <c r="AP18" s="17">
        <v>2504</v>
      </c>
      <c r="AQ18" s="17">
        <v>3051</v>
      </c>
      <c r="AR18" s="17">
        <v>3800</v>
      </c>
      <c r="AS18" s="17">
        <v>3856</v>
      </c>
      <c r="AT18" s="17">
        <v>3756</v>
      </c>
      <c r="AU18" s="17">
        <v>3402</v>
      </c>
      <c r="AV18" s="17">
        <v>3660</v>
      </c>
      <c r="AW18" s="17">
        <v>3586</v>
      </c>
      <c r="AX18" s="17">
        <v>3511</v>
      </c>
      <c r="AY18" s="17">
        <v>3467</v>
      </c>
      <c r="AZ18" s="17">
        <v>3597</v>
      </c>
      <c r="BA18" s="40">
        <v>3802</v>
      </c>
      <c r="BB18" s="17">
        <f>AVERAGE(AD18:BA18)</f>
        <v>2475.9166666666665</v>
      </c>
      <c r="BC18" s="41">
        <f>_xlfn.STDEV.P(AD18:BB18)</f>
        <v>1092.6768567757506</v>
      </c>
      <c r="BD18" s="17">
        <f>BA18-BB18</f>
        <v>1326.0833333333335</v>
      </c>
      <c r="BE18" s="42">
        <f>BA18/BB18</f>
        <v>1.5355928780586316</v>
      </c>
      <c r="BF18" s="13">
        <v>13</v>
      </c>
      <c r="BG18" s="13">
        <v>21</v>
      </c>
      <c r="BH18" s="13">
        <v>23</v>
      </c>
      <c r="BI18" s="13">
        <v>53</v>
      </c>
      <c r="BJ18" s="13">
        <v>89</v>
      </c>
      <c r="BK18" s="13">
        <v>44</v>
      </c>
      <c r="BL18" s="13">
        <v>71</v>
      </c>
      <c r="BM18" s="13">
        <v>16</v>
      </c>
      <c r="BN18" s="13">
        <v>2</v>
      </c>
      <c r="BO18" s="13">
        <v>51</v>
      </c>
      <c r="BP18" s="13">
        <v>13</v>
      </c>
      <c r="BQ18" s="13">
        <v>24</v>
      </c>
      <c r="BR18" s="13">
        <v>13</v>
      </c>
      <c r="BS18" s="13">
        <v>31</v>
      </c>
      <c r="BT18" s="13">
        <v>17</v>
      </c>
      <c r="BU18" s="13">
        <v>9</v>
      </c>
      <c r="BV18" s="13">
        <v>15</v>
      </c>
      <c r="BW18" s="13">
        <v>8</v>
      </c>
      <c r="BX18" s="13">
        <v>14</v>
      </c>
      <c r="BY18" s="13">
        <v>40</v>
      </c>
      <c r="BZ18" s="13">
        <v>10</v>
      </c>
      <c r="CA18" s="13">
        <v>136</v>
      </c>
      <c r="CB18" s="13">
        <v>50</v>
      </c>
      <c r="CC18" s="13">
        <v>27</v>
      </c>
      <c r="CD18" s="13">
        <v>13</v>
      </c>
      <c r="CE18" s="14">
        <f>AVERAGE(BF18:CD18)</f>
        <v>32.119999999999997</v>
      </c>
      <c r="CF18" s="41">
        <f>_xlfn.STDEV.P(BF18:CD18)</f>
        <v>29.825251046722141</v>
      </c>
      <c r="CG18" s="17">
        <f>MAX(BF18:CD18)</f>
        <v>136</v>
      </c>
      <c r="CH18" s="17">
        <f>AVERAGE(CB18:CD18)</f>
        <v>30</v>
      </c>
      <c r="CI18" s="41">
        <f>_xlfn.STDEV.P(CB18:CD18)</f>
        <v>15.253414918196734</v>
      </c>
      <c r="CJ18" s="41">
        <f>MAX(BY18:CD18)</f>
        <v>136</v>
      </c>
      <c r="CL18" s="23">
        <f t="shared" si="6"/>
        <v>1.4741035856573705</v>
      </c>
      <c r="CM18" s="14">
        <f t="shared" si="7"/>
        <v>115</v>
      </c>
      <c r="CN18" s="43">
        <f>100*IF(CM18&gt;0,CM18,0)</f>
        <v>11500</v>
      </c>
      <c r="CO18" s="13">
        <f t="shared" si="8"/>
        <v>115</v>
      </c>
      <c r="CP18" s="43">
        <f>100*IF(CO18&gt;0,CO18,0)</f>
        <v>11500</v>
      </c>
      <c r="CQ18" s="13">
        <f>CE18+2*CF18</f>
        <v>91.770502093444279</v>
      </c>
      <c r="CR18" s="44">
        <f t="shared" si="9"/>
        <v>159.22949790655571</v>
      </c>
      <c r="CS18" s="43">
        <f>100*IF(CR18&gt;0,CR18,0)</f>
        <v>15922.94979065557</v>
      </c>
      <c r="CU18" s="23">
        <f>SUM(BS18:CD18)/(0.8*BA18)</f>
        <v>0.12164650184113623</v>
      </c>
      <c r="CV18" s="14">
        <f>(0.65*AVERAGE(AD18:BA18))-CG18</f>
        <v>1473.3458333333333</v>
      </c>
      <c r="CW18" s="43">
        <f>20*IF(CV18&gt;0,CV18,0)</f>
        <v>29466.916666666664</v>
      </c>
      <c r="CX18" s="13">
        <f>0.8*BA18-CJ18</f>
        <v>2905.6000000000004</v>
      </c>
      <c r="CY18" s="43">
        <f>20*IF(CX18&gt;0,CX18,0)</f>
        <v>58112.000000000007</v>
      </c>
      <c r="CZ18" s="13">
        <f>CE18+2*CF18</f>
        <v>91.770502093444279</v>
      </c>
      <c r="DA18" s="44">
        <f>0.8*BA18-CQ18</f>
        <v>2949.8294979065563</v>
      </c>
      <c r="DB18" s="43">
        <f>20*IF(DA18&gt;0,DA18,0)</f>
        <v>58996.589958131124</v>
      </c>
      <c r="DD18" s="23">
        <f t="shared" si="10"/>
        <v>9.2435295293294695E-2</v>
      </c>
      <c r="DE18" s="57">
        <f t="shared" si="16"/>
        <v>101140</v>
      </c>
      <c r="DF18" s="14">
        <f t="shared" si="11"/>
        <v>3866.8</v>
      </c>
      <c r="DG18" s="43">
        <f>20*IF(DF18&gt;0,DF18,0)</f>
        <v>77336</v>
      </c>
      <c r="DH18" s="13">
        <f t="shared" si="12"/>
        <v>3866.8</v>
      </c>
      <c r="DI18" s="43">
        <f>20*IF(DH18&gt;0,DH18,0)</f>
        <v>77336</v>
      </c>
      <c r="DJ18" s="13">
        <f>CH20+2*CI20</f>
        <v>97.856776554368238</v>
      </c>
      <c r="DK18" s="44">
        <f t="shared" si="13"/>
        <v>3904.9432234456322</v>
      </c>
      <c r="DL18" s="43">
        <f>20*IF(DK18&gt;0,DK18,0)</f>
        <v>78098.864468912638</v>
      </c>
      <c r="DN18" s="13">
        <v>0</v>
      </c>
      <c r="DO18" s="13">
        <f>(C18-B18)+(AE18-AD18)+BG18</f>
        <v>89</v>
      </c>
      <c r="DP18" s="13">
        <f t="shared" si="17"/>
        <v>-736</v>
      </c>
      <c r="DQ18" s="13">
        <f t="shared" si="18"/>
        <v>231</v>
      </c>
      <c r="DR18" s="13">
        <f t="shared" si="19"/>
        <v>13</v>
      </c>
      <c r="DS18" s="13">
        <f t="shared" si="20"/>
        <v>75</v>
      </c>
      <c r="DT18" s="13">
        <f t="shared" si="21"/>
        <v>492</v>
      </c>
      <c r="DU18" s="13">
        <f t="shared" si="22"/>
        <v>339</v>
      </c>
      <c r="DV18" s="13">
        <f t="shared" si="23"/>
        <v>223</v>
      </c>
      <c r="DW18" s="13">
        <f t="shared" si="24"/>
        <v>145</v>
      </c>
      <c r="DX18" s="13">
        <f t="shared" si="25"/>
        <v>-56</v>
      </c>
      <c r="DY18" s="13">
        <f t="shared" si="26"/>
        <v>524</v>
      </c>
      <c r="DZ18" s="13">
        <f t="shared" si="27"/>
        <v>180</v>
      </c>
      <c r="EA18" s="13">
        <f t="shared" si="28"/>
        <v>436</v>
      </c>
      <c r="EB18" s="13">
        <f t="shared" si="29"/>
        <v>751</v>
      </c>
      <c r="EC18" s="13">
        <f t="shared" si="30"/>
        <v>103</v>
      </c>
      <c r="ED18" s="13">
        <f t="shared" si="31"/>
        <v>-87</v>
      </c>
      <c r="EE18" s="13">
        <f t="shared" si="32"/>
        <v>-345</v>
      </c>
      <c r="EF18" s="13">
        <f t="shared" si="33"/>
        <v>235</v>
      </c>
      <c r="EG18" s="13">
        <f t="shared" si="34"/>
        <v>-18</v>
      </c>
      <c r="EH18" s="13">
        <f t="shared" si="35"/>
        <v>-3</v>
      </c>
      <c r="EI18" s="13">
        <f t="shared" si="36"/>
        <v>131</v>
      </c>
      <c r="EJ18" s="13">
        <f t="shared" si="37"/>
        <v>187</v>
      </c>
      <c r="EK18" s="13">
        <f t="shared" si="38"/>
        <v>199</v>
      </c>
      <c r="EL18" s="14">
        <f t="shared" si="15"/>
        <v>3108</v>
      </c>
    </row>
    <row r="19" spans="1:142" x14ac:dyDescent="0.2">
      <c r="A19" s="12">
        <v>33</v>
      </c>
      <c r="B19" s="13">
        <v>984</v>
      </c>
      <c r="C19" s="13">
        <v>981</v>
      </c>
      <c r="D19" s="13">
        <v>1048</v>
      </c>
      <c r="E19" s="13">
        <v>655</v>
      </c>
      <c r="F19" s="13">
        <v>539</v>
      </c>
      <c r="G19" s="13">
        <v>940</v>
      </c>
      <c r="H19" s="13">
        <v>357</v>
      </c>
      <c r="I19" s="13">
        <v>768</v>
      </c>
      <c r="J19" s="13">
        <v>851</v>
      </c>
      <c r="K19" s="13">
        <v>468</v>
      </c>
      <c r="L19" s="13">
        <v>850</v>
      </c>
      <c r="M19" s="13">
        <v>910</v>
      </c>
      <c r="N19" s="13">
        <v>1093</v>
      </c>
      <c r="O19" s="13">
        <v>995</v>
      </c>
      <c r="P19" s="13">
        <v>869</v>
      </c>
      <c r="Q19" s="13">
        <v>962</v>
      </c>
      <c r="R19" s="13">
        <v>1010</v>
      </c>
      <c r="S19" s="13">
        <v>957</v>
      </c>
      <c r="T19" s="13">
        <v>848</v>
      </c>
      <c r="U19" s="13">
        <v>1169</v>
      </c>
      <c r="V19" s="13">
        <v>1320</v>
      </c>
      <c r="W19" s="13">
        <v>1055</v>
      </c>
      <c r="X19" s="13">
        <v>1287</v>
      </c>
      <c r="Y19" s="13">
        <v>1441</v>
      </c>
      <c r="Z19" s="14">
        <f>AVERAGE(B19:Y19)</f>
        <v>931.54166666666663</v>
      </c>
      <c r="AA19" s="15">
        <f>_xlfn.STDEV.P(B19:Y19)</f>
        <v>249.32040616555147</v>
      </c>
      <c r="AB19" s="13">
        <f t="shared" si="4"/>
        <v>509.45833333333337</v>
      </c>
      <c r="AC19" s="19">
        <f t="shared" si="5"/>
        <v>1.5468980632464107</v>
      </c>
      <c r="AD19" s="14">
        <v>1034</v>
      </c>
      <c r="AE19" s="17">
        <v>755</v>
      </c>
      <c r="AF19" s="17">
        <v>767</v>
      </c>
      <c r="AG19" s="17">
        <v>940</v>
      </c>
      <c r="AH19" s="17">
        <v>850</v>
      </c>
      <c r="AI19" s="17">
        <v>1387</v>
      </c>
      <c r="AJ19" s="17">
        <v>1070</v>
      </c>
      <c r="AK19" s="17">
        <v>424</v>
      </c>
      <c r="AL19" s="17">
        <v>879</v>
      </c>
      <c r="AM19" s="17">
        <v>773</v>
      </c>
      <c r="AN19" s="17">
        <v>1407</v>
      </c>
      <c r="AO19" s="17">
        <v>2122</v>
      </c>
      <c r="AP19" s="17">
        <v>3328</v>
      </c>
      <c r="AQ19" s="17">
        <v>3784</v>
      </c>
      <c r="AR19" s="17">
        <v>3935</v>
      </c>
      <c r="AS19" s="17">
        <v>4447</v>
      </c>
      <c r="AT19" s="17">
        <v>4407</v>
      </c>
      <c r="AU19" s="17">
        <v>4164</v>
      </c>
      <c r="AV19" s="17">
        <v>3550</v>
      </c>
      <c r="AW19" s="17">
        <v>2965</v>
      </c>
      <c r="AX19" s="17">
        <v>1762</v>
      </c>
      <c r="AY19" s="17">
        <v>7118</v>
      </c>
      <c r="AZ19" s="17">
        <v>2790</v>
      </c>
      <c r="BA19" s="40">
        <v>3175</v>
      </c>
      <c r="BB19" s="17">
        <f>AVERAGE(AD19:BA19)</f>
        <v>2409.7083333333335</v>
      </c>
      <c r="BC19" s="41">
        <f>_xlfn.STDEV.P(AD19:BB19)</f>
        <v>1625.0279130935976</v>
      </c>
      <c r="BD19" s="17">
        <f>BA19-BB19</f>
        <v>765.29166666666652</v>
      </c>
      <c r="BE19" s="42">
        <f>BA19/BB19</f>
        <v>1.3175868448809502</v>
      </c>
      <c r="BF19" s="13">
        <v>201</v>
      </c>
      <c r="BG19" s="13">
        <v>485</v>
      </c>
      <c r="BH19" s="13">
        <v>635</v>
      </c>
      <c r="BI19" s="13">
        <v>1011</v>
      </c>
      <c r="BJ19" s="13">
        <v>94</v>
      </c>
      <c r="BK19" s="13">
        <v>16</v>
      </c>
      <c r="BL19" s="13">
        <v>875</v>
      </c>
      <c r="BM19" s="13">
        <v>833</v>
      </c>
      <c r="BN19" s="13">
        <v>1486</v>
      </c>
      <c r="BO19" s="13">
        <v>1461</v>
      </c>
      <c r="BP19" s="13">
        <v>463</v>
      </c>
      <c r="BQ19" s="13">
        <v>2383</v>
      </c>
      <c r="BR19" s="13">
        <v>1294</v>
      </c>
      <c r="BS19" s="13">
        <v>1764</v>
      </c>
      <c r="BT19" s="13">
        <v>1773</v>
      </c>
      <c r="BU19" s="13">
        <v>888</v>
      </c>
      <c r="BV19" s="13">
        <v>87</v>
      </c>
      <c r="BW19" s="13">
        <v>516</v>
      </c>
      <c r="BX19" s="13">
        <v>506</v>
      </c>
      <c r="BY19" s="13">
        <v>255</v>
      </c>
      <c r="BZ19" s="13">
        <v>524</v>
      </c>
      <c r="CA19" s="13">
        <v>734</v>
      </c>
      <c r="CB19" s="13">
        <v>65</v>
      </c>
      <c r="CC19" s="13">
        <v>247</v>
      </c>
      <c r="CD19" s="13">
        <v>208</v>
      </c>
      <c r="CE19" s="14">
        <f>AVERAGE(BF19:CD19)</f>
        <v>752.16</v>
      </c>
      <c r="CF19" s="41">
        <f>_xlfn.STDEV.P(BF19:CD19)</f>
        <v>616.3329411933131</v>
      </c>
      <c r="CG19" s="17">
        <f>MAX(BF19:CD19)</f>
        <v>2383</v>
      </c>
      <c r="CH19" s="17">
        <f>AVERAGE(CB19:CD19)</f>
        <v>173.33333333333334</v>
      </c>
      <c r="CI19" s="41">
        <f>_xlfn.STDEV.P(CB19:CD19)</f>
        <v>78.240370369493746</v>
      </c>
      <c r="CJ19" s="41">
        <f>MAX(BY19:CD19)</f>
        <v>734</v>
      </c>
      <c r="CL19" s="23">
        <f t="shared" si="6"/>
        <v>5.2512144344205414</v>
      </c>
      <c r="CM19" s="14">
        <f t="shared" si="7"/>
        <v>-942</v>
      </c>
      <c r="CN19" s="43">
        <f>100*IF(CM19&gt;0,CM19,0)</f>
        <v>0</v>
      </c>
      <c r="CO19" s="13">
        <f t="shared" si="8"/>
        <v>707</v>
      </c>
      <c r="CP19" s="43">
        <f>100*IF(CO19&gt;0,CO19,0)</f>
        <v>70700</v>
      </c>
      <c r="CQ19" s="13">
        <f>CE19+2*CF19</f>
        <v>1984.8258823866263</v>
      </c>
      <c r="CR19" s="44">
        <f t="shared" si="9"/>
        <v>-543.82588238662629</v>
      </c>
      <c r="CS19" s="43">
        <f>100*IF(CR19&gt;0,CR19,0)</f>
        <v>0</v>
      </c>
      <c r="CU19" s="23">
        <f>SUM(BS19:CD19)/(0.8*BA19)</f>
        <v>2.9791338582677165</v>
      </c>
      <c r="CV19" s="14">
        <f>(0.65*AVERAGE(AD19:BA19))-CG19</f>
        <v>-816.68958333333308</v>
      </c>
      <c r="CW19" s="43">
        <f>20*IF(CV19&gt;0,CV19,0)</f>
        <v>0</v>
      </c>
      <c r="CX19" s="13">
        <f>0.8*BA19-CJ19</f>
        <v>1806</v>
      </c>
      <c r="CY19" s="43">
        <f>20*IF(CX19&gt;0,CX19,0)</f>
        <v>36120</v>
      </c>
      <c r="CZ19" s="13">
        <f>CE19+2*CF19</f>
        <v>1984.8258823866263</v>
      </c>
      <c r="DA19" s="44">
        <f>0.8*BA19-CQ19</f>
        <v>555.17411761337371</v>
      </c>
      <c r="DB19" s="43">
        <f>20*IF(DA19&gt;0,DA19,0)</f>
        <v>11103.482352267474</v>
      </c>
      <c r="DD19" s="23">
        <f t="shared" si="10"/>
        <v>1.7484634225241462</v>
      </c>
      <c r="DE19" s="57">
        <f t="shared" si="16"/>
        <v>207600</v>
      </c>
      <c r="DF19" s="14">
        <f t="shared" si="11"/>
        <v>1944.8000000000002</v>
      </c>
      <c r="DG19" s="43">
        <f>20*IF(DF19&gt;0,DF19,0)</f>
        <v>38896</v>
      </c>
      <c r="DH19" s="13">
        <f t="shared" si="12"/>
        <v>3593.8</v>
      </c>
      <c r="DI19" s="43">
        <f>20*IF(DH19&gt;0,DH19,0)</f>
        <v>71876</v>
      </c>
      <c r="DJ19" s="13">
        <f>CH21+2*CI21</f>
        <v>239.9866660740214</v>
      </c>
      <c r="DK19" s="44">
        <f t="shared" si="13"/>
        <v>4087.8133339259789</v>
      </c>
      <c r="DL19" s="43">
        <f>20*IF(DK19&gt;0,DK19,0)</f>
        <v>81756.266678519576</v>
      </c>
      <c r="DN19" s="13">
        <v>0</v>
      </c>
      <c r="DO19" s="13">
        <f>(C19-B19)+(AE19-AD19)+BG19</f>
        <v>203</v>
      </c>
      <c r="DP19" s="13">
        <f t="shared" si="17"/>
        <v>714</v>
      </c>
      <c r="DQ19" s="13">
        <f t="shared" si="18"/>
        <v>791</v>
      </c>
      <c r="DR19" s="13">
        <f t="shared" si="19"/>
        <v>-112</v>
      </c>
      <c r="DS19" s="13">
        <f t="shared" si="20"/>
        <v>954</v>
      </c>
      <c r="DT19" s="13">
        <f t="shared" si="21"/>
        <v>-25</v>
      </c>
      <c r="DU19" s="13">
        <f t="shared" si="22"/>
        <v>598</v>
      </c>
      <c r="DV19" s="13">
        <f t="shared" si="23"/>
        <v>2024</v>
      </c>
      <c r="DW19" s="13">
        <f t="shared" si="24"/>
        <v>972</v>
      </c>
      <c r="DX19" s="13">
        <f t="shared" si="25"/>
        <v>1479</v>
      </c>
      <c r="DY19" s="13">
        <f t="shared" si="26"/>
        <v>3158</v>
      </c>
      <c r="DZ19" s="13">
        <f t="shared" si="27"/>
        <v>2683</v>
      </c>
      <c r="EA19" s="13">
        <f t="shared" si="28"/>
        <v>2122</v>
      </c>
      <c r="EB19" s="13">
        <f t="shared" si="29"/>
        <v>1798</v>
      </c>
      <c r="EC19" s="13">
        <f t="shared" si="30"/>
        <v>1493</v>
      </c>
      <c r="ED19" s="13">
        <f t="shared" si="31"/>
        <v>95</v>
      </c>
      <c r="EE19" s="13">
        <f t="shared" si="32"/>
        <v>220</v>
      </c>
      <c r="EF19" s="13">
        <f t="shared" si="33"/>
        <v>-217</v>
      </c>
      <c r="EG19" s="13">
        <f t="shared" si="34"/>
        <v>-9</v>
      </c>
      <c r="EH19" s="13">
        <f t="shared" si="35"/>
        <v>-528</v>
      </c>
      <c r="EI19" s="13">
        <f t="shared" si="36"/>
        <v>5825</v>
      </c>
      <c r="EJ19" s="13">
        <f t="shared" si="37"/>
        <v>-4031</v>
      </c>
      <c r="EK19" s="13">
        <f t="shared" si="38"/>
        <v>786</v>
      </c>
      <c r="EL19" s="14">
        <f t="shared" si="15"/>
        <v>20993</v>
      </c>
    </row>
    <row r="20" spans="1:142" x14ac:dyDescent="0.2">
      <c r="A20" s="12">
        <v>34</v>
      </c>
      <c r="B20" s="13">
        <v>539</v>
      </c>
      <c r="C20" s="13">
        <v>522</v>
      </c>
      <c r="D20" s="13">
        <v>466</v>
      </c>
      <c r="E20" s="13">
        <v>550</v>
      </c>
      <c r="F20" s="13">
        <v>516</v>
      </c>
      <c r="G20" s="13">
        <v>585</v>
      </c>
      <c r="H20" s="13">
        <v>383</v>
      </c>
      <c r="I20" s="13">
        <v>415</v>
      </c>
      <c r="J20" s="13">
        <v>378</v>
      </c>
      <c r="K20" s="13">
        <v>368</v>
      </c>
      <c r="L20" s="13">
        <v>327</v>
      </c>
      <c r="M20" s="13">
        <v>502</v>
      </c>
      <c r="N20" s="13">
        <v>605</v>
      </c>
      <c r="O20" s="13">
        <v>576</v>
      </c>
      <c r="P20" s="13">
        <v>557</v>
      </c>
      <c r="Q20" s="13">
        <v>641</v>
      </c>
      <c r="R20" s="13">
        <v>441</v>
      </c>
      <c r="S20" s="13">
        <v>529</v>
      </c>
      <c r="T20" s="13">
        <v>402</v>
      </c>
      <c r="U20" s="13">
        <v>546</v>
      </c>
      <c r="V20" s="13">
        <v>372</v>
      </c>
      <c r="W20" s="13">
        <v>239</v>
      </c>
      <c r="X20" s="13">
        <v>301</v>
      </c>
      <c r="Y20" s="13">
        <v>298</v>
      </c>
      <c r="Z20" s="14">
        <f>AVERAGE(B20:Y20)</f>
        <v>460.75</v>
      </c>
      <c r="AA20" s="15">
        <f>_xlfn.STDEV.P(B20:Y20)</f>
        <v>108.05216718480631</v>
      </c>
      <c r="AB20" s="13">
        <f t="shared" si="4"/>
        <v>-162.75</v>
      </c>
      <c r="AC20" s="19">
        <f t="shared" si="5"/>
        <v>0.64677156809549652</v>
      </c>
      <c r="AD20" s="14">
        <v>1683</v>
      </c>
      <c r="AE20" s="17">
        <v>1631</v>
      </c>
      <c r="AF20" s="17">
        <v>1718</v>
      </c>
      <c r="AG20" s="17">
        <v>1829</v>
      </c>
      <c r="AH20" s="17">
        <v>1811</v>
      </c>
      <c r="AI20" s="17">
        <v>1993</v>
      </c>
      <c r="AJ20" s="17">
        <v>2092</v>
      </c>
      <c r="AK20" s="17">
        <v>1689</v>
      </c>
      <c r="AL20" s="17">
        <v>1628</v>
      </c>
      <c r="AM20" s="17">
        <v>1744</v>
      </c>
      <c r="AN20" s="17">
        <v>1449</v>
      </c>
      <c r="AO20" s="17">
        <v>2562</v>
      </c>
      <c r="AP20" s="17">
        <v>3107</v>
      </c>
      <c r="AQ20" s="17">
        <v>3376</v>
      </c>
      <c r="AR20" s="17">
        <v>3603</v>
      </c>
      <c r="AS20" s="17">
        <v>3929</v>
      </c>
      <c r="AT20" s="17">
        <v>3978</v>
      </c>
      <c r="AU20" s="17">
        <v>3518</v>
      </c>
      <c r="AV20" s="17">
        <v>3509</v>
      </c>
      <c r="AW20" s="17">
        <v>3395</v>
      </c>
      <c r="AX20" s="17">
        <v>3356</v>
      </c>
      <c r="AY20" s="17">
        <v>3276</v>
      </c>
      <c r="AZ20" s="17">
        <v>4967</v>
      </c>
      <c r="BA20" s="40">
        <v>5448</v>
      </c>
      <c r="BB20" s="17">
        <f>AVERAGE(AD20:BA20)</f>
        <v>2803.7916666666665</v>
      </c>
      <c r="BC20" s="41">
        <f>_xlfn.STDEV.P(AD20:BB20)</f>
        <v>1092.0052006896913</v>
      </c>
      <c r="BD20" s="17">
        <f>BA20-BB20</f>
        <v>2644.2083333333335</v>
      </c>
      <c r="BE20" s="42">
        <f>BA20/BB20</f>
        <v>1.94308302744795</v>
      </c>
      <c r="BF20" s="13">
        <v>74</v>
      </c>
      <c r="BG20" s="13">
        <v>10</v>
      </c>
      <c r="BH20" s="13">
        <v>80</v>
      </c>
      <c r="BI20" s="13">
        <v>85</v>
      </c>
      <c r="BJ20" s="13">
        <v>54</v>
      </c>
      <c r="BK20" s="13">
        <v>26</v>
      </c>
      <c r="BL20" s="13">
        <v>135</v>
      </c>
      <c r="BM20" s="13">
        <v>19</v>
      </c>
      <c r="BN20" s="13">
        <v>34</v>
      </c>
      <c r="BO20" s="13">
        <v>109</v>
      </c>
      <c r="BP20" s="13">
        <v>167</v>
      </c>
      <c r="BQ20" s="13">
        <v>69</v>
      </c>
      <c r="BR20" s="13">
        <v>67</v>
      </c>
      <c r="BS20" s="13">
        <v>76</v>
      </c>
      <c r="BT20" s="13">
        <v>30</v>
      </c>
      <c r="BU20" s="13">
        <v>148</v>
      </c>
      <c r="BV20" s="13">
        <v>251</v>
      </c>
      <c r="BW20" s="13">
        <v>258</v>
      </c>
      <c r="BX20" s="13">
        <v>325</v>
      </c>
      <c r="BY20" s="13">
        <v>173</v>
      </c>
      <c r="BZ20" s="13">
        <v>309</v>
      </c>
      <c r="CA20" s="13">
        <v>237</v>
      </c>
      <c r="CB20" s="13">
        <v>84</v>
      </c>
      <c r="CC20" s="13">
        <v>75</v>
      </c>
      <c r="CD20" s="13">
        <v>51</v>
      </c>
      <c r="CE20" s="14">
        <f>AVERAGE(BF20:CD20)</f>
        <v>117.84</v>
      </c>
      <c r="CF20" s="41">
        <f>_xlfn.STDEV.P(BF20:CD20)</f>
        <v>90.560335688423763</v>
      </c>
      <c r="CG20" s="17">
        <f>MAX(BF20:CD20)</f>
        <v>325</v>
      </c>
      <c r="CH20" s="17">
        <f>AVERAGE(CB20:CD20)</f>
        <v>70</v>
      </c>
      <c r="CI20" s="41">
        <f>_xlfn.STDEV.P(CB20:CD20)</f>
        <v>13.928388277184119</v>
      </c>
      <c r="CJ20" s="41">
        <f>MAX(BY20:CD20)</f>
        <v>309</v>
      </c>
      <c r="CL20" s="23">
        <f t="shared" si="6"/>
        <v>6.7684563758389258</v>
      </c>
      <c r="CM20" s="14">
        <f t="shared" si="7"/>
        <v>-27</v>
      </c>
      <c r="CN20" s="43">
        <f>100*IF(CM20&gt;0,CM20,0)</f>
        <v>0</v>
      </c>
      <c r="CO20" s="13">
        <f t="shared" si="8"/>
        <v>-11</v>
      </c>
      <c r="CP20" s="43">
        <f>100*IF(CO20&gt;0,CO20,0)</f>
        <v>0</v>
      </c>
      <c r="CQ20" s="13">
        <f>CE20+2*CF20</f>
        <v>298.96067137684753</v>
      </c>
      <c r="CR20" s="44">
        <f t="shared" si="9"/>
        <v>-0.96067137684752879</v>
      </c>
      <c r="CS20" s="43">
        <f>100*IF(CR20&gt;0,CR20,0)</f>
        <v>0</v>
      </c>
      <c r="CU20" s="23">
        <f>SUM(BS20:CD20)/(0.8*BA20)</f>
        <v>0.46278450807635824</v>
      </c>
      <c r="CV20" s="14">
        <f>(0.65*AVERAGE(AD20:BA20))-CG20</f>
        <v>1497.4645833333334</v>
      </c>
      <c r="CW20" s="43">
        <f>20*IF(CV20&gt;0,CV20,0)</f>
        <v>29949.291666666668</v>
      </c>
      <c r="CX20" s="13">
        <f>0.8*BA20-CJ20</f>
        <v>4049.4000000000005</v>
      </c>
      <c r="CY20" s="43">
        <f>20*IF(CX20&gt;0,CX20,0)</f>
        <v>80988.000000000015</v>
      </c>
      <c r="CZ20" s="13">
        <f>CE20+2*CF20</f>
        <v>298.96067137684753</v>
      </c>
      <c r="DA20" s="44">
        <f>0.8*BA20-CQ20</f>
        <v>4059.439328623153</v>
      </c>
      <c r="DB20" s="43">
        <f>20*IF(DA20&gt;0,DA20,0)</f>
        <v>81188.786572463054</v>
      </c>
      <c r="DD20" s="23">
        <f t="shared" si="10"/>
        <v>0.35470596510973551</v>
      </c>
      <c r="DE20" s="57">
        <f t="shared" si="16"/>
        <v>138760</v>
      </c>
      <c r="DF20" s="14">
        <f t="shared" si="11"/>
        <v>5361.4</v>
      </c>
      <c r="DG20" s="43">
        <f>20*IF(DF20&gt;0,DF20,0)</f>
        <v>107228</v>
      </c>
      <c r="DH20" s="13">
        <f t="shared" si="12"/>
        <v>5377.4</v>
      </c>
      <c r="DI20" s="43">
        <f>20*IF(DH20&gt;0,DH20,0)</f>
        <v>107548</v>
      </c>
      <c r="DJ20" s="13">
        <f>CH22+2*CI22</f>
        <v>90.561075585138724</v>
      </c>
      <c r="DK20" s="44">
        <f t="shared" si="13"/>
        <v>5595.8389244148611</v>
      </c>
      <c r="DL20" s="43">
        <f>20*IF(DK20&gt;0,DK20,0)</f>
        <v>111916.77848829722</v>
      </c>
      <c r="DN20" s="13">
        <v>0</v>
      </c>
      <c r="DO20" s="13">
        <f>(C20-B20)+(AE20-AD20)+BG20</f>
        <v>-59</v>
      </c>
      <c r="DP20" s="13">
        <f t="shared" si="17"/>
        <v>111</v>
      </c>
      <c r="DQ20" s="13">
        <f t="shared" si="18"/>
        <v>280</v>
      </c>
      <c r="DR20" s="13">
        <f t="shared" si="19"/>
        <v>2</v>
      </c>
      <c r="DS20" s="13">
        <f t="shared" si="20"/>
        <v>277</v>
      </c>
      <c r="DT20" s="13">
        <f t="shared" si="21"/>
        <v>32</v>
      </c>
      <c r="DU20" s="13">
        <f t="shared" si="22"/>
        <v>-352</v>
      </c>
      <c r="DV20" s="13">
        <f t="shared" si="23"/>
        <v>-64</v>
      </c>
      <c r="DW20" s="13">
        <f t="shared" si="24"/>
        <v>215</v>
      </c>
      <c r="DX20" s="13">
        <f t="shared" si="25"/>
        <v>-169</v>
      </c>
      <c r="DY20" s="13">
        <f t="shared" si="26"/>
        <v>1357</v>
      </c>
      <c r="DZ20" s="13">
        <f t="shared" si="27"/>
        <v>715</v>
      </c>
      <c r="EA20" s="13">
        <f t="shared" si="28"/>
        <v>316</v>
      </c>
      <c r="EB20" s="13">
        <f t="shared" si="29"/>
        <v>238</v>
      </c>
      <c r="EC20" s="13">
        <f t="shared" si="30"/>
        <v>558</v>
      </c>
      <c r="ED20" s="13">
        <f t="shared" si="31"/>
        <v>100</v>
      </c>
      <c r="EE20" s="13">
        <f t="shared" si="32"/>
        <v>-114</v>
      </c>
      <c r="EF20" s="13">
        <f t="shared" si="33"/>
        <v>189</v>
      </c>
      <c r="EG20" s="13">
        <f t="shared" si="34"/>
        <v>203</v>
      </c>
      <c r="EH20" s="13">
        <f t="shared" si="35"/>
        <v>96</v>
      </c>
      <c r="EI20" s="13">
        <f t="shared" si="36"/>
        <v>24</v>
      </c>
      <c r="EJ20" s="13">
        <f t="shared" si="37"/>
        <v>1837</v>
      </c>
      <c r="EK20" s="13">
        <f t="shared" si="38"/>
        <v>553</v>
      </c>
      <c r="EL20" s="14">
        <f t="shared" si="15"/>
        <v>6345</v>
      </c>
    </row>
    <row r="21" spans="1:142" x14ac:dyDescent="0.2">
      <c r="A21" s="12">
        <v>35</v>
      </c>
      <c r="B21" s="13">
        <v>393</v>
      </c>
      <c r="C21" s="13">
        <v>336</v>
      </c>
      <c r="D21" s="13">
        <v>379</v>
      </c>
      <c r="E21" s="13">
        <v>509</v>
      </c>
      <c r="F21" s="13">
        <v>285</v>
      </c>
      <c r="G21" s="13">
        <v>352</v>
      </c>
      <c r="H21" s="13">
        <v>272</v>
      </c>
      <c r="I21" s="13">
        <v>195</v>
      </c>
      <c r="J21" s="13">
        <v>261</v>
      </c>
      <c r="K21" s="13">
        <v>230</v>
      </c>
      <c r="L21" s="13">
        <v>232</v>
      </c>
      <c r="M21" s="13">
        <v>248</v>
      </c>
      <c r="N21" s="13">
        <v>216</v>
      </c>
      <c r="O21" s="13">
        <v>227</v>
      </c>
      <c r="P21" s="13">
        <v>150</v>
      </c>
      <c r="Q21" s="13">
        <v>272</v>
      </c>
      <c r="R21" s="13">
        <v>352</v>
      </c>
      <c r="S21" s="13">
        <v>337</v>
      </c>
      <c r="T21" s="13">
        <v>285</v>
      </c>
      <c r="U21" s="13">
        <v>445</v>
      </c>
      <c r="V21" s="13">
        <v>443</v>
      </c>
      <c r="W21" s="13">
        <v>349</v>
      </c>
      <c r="X21" s="13">
        <v>415</v>
      </c>
      <c r="Y21" s="13">
        <v>409</v>
      </c>
      <c r="Z21" s="14">
        <f>AVERAGE(B21:Y21)</f>
        <v>316.33333333333331</v>
      </c>
      <c r="AA21" s="15">
        <f>_xlfn.STDEV.P(B21:Y21)</f>
        <v>89.185979216964867</v>
      </c>
      <c r="AB21" s="13">
        <f t="shared" si="4"/>
        <v>92.666666666666686</v>
      </c>
      <c r="AC21" s="19">
        <f t="shared" si="5"/>
        <v>1.2929399367755532</v>
      </c>
      <c r="AD21" s="14">
        <v>298</v>
      </c>
      <c r="AE21" s="17">
        <v>334</v>
      </c>
      <c r="AF21" s="17">
        <v>279</v>
      </c>
      <c r="AG21" s="17">
        <v>167</v>
      </c>
      <c r="AH21" s="17">
        <v>125</v>
      </c>
      <c r="AI21" s="17">
        <v>223</v>
      </c>
      <c r="AJ21" s="17">
        <v>256</v>
      </c>
      <c r="AK21" s="17">
        <v>37</v>
      </c>
      <c r="AL21" s="17">
        <v>228</v>
      </c>
      <c r="AM21" s="17">
        <v>304</v>
      </c>
      <c r="AN21" s="17">
        <v>251</v>
      </c>
      <c r="AO21" s="17">
        <v>429</v>
      </c>
      <c r="AP21" s="17">
        <v>608</v>
      </c>
      <c r="AQ21" s="17">
        <v>797</v>
      </c>
      <c r="AR21" s="17">
        <v>1224</v>
      </c>
      <c r="AS21" s="17">
        <v>1187</v>
      </c>
      <c r="AT21" s="17">
        <v>974</v>
      </c>
      <c r="AU21" s="17">
        <v>901</v>
      </c>
      <c r="AV21" s="17">
        <v>644</v>
      </c>
      <c r="AW21" s="17">
        <v>518</v>
      </c>
      <c r="AX21" s="17">
        <v>537</v>
      </c>
      <c r="AY21" s="17">
        <v>608</v>
      </c>
      <c r="AZ21" s="17">
        <v>1019</v>
      </c>
      <c r="BA21" s="40">
        <v>1306</v>
      </c>
      <c r="BB21" s="17">
        <f>AVERAGE(AD21:BA21)</f>
        <v>552.25</v>
      </c>
      <c r="BC21" s="41">
        <f>_xlfn.STDEV.P(AD21:BB21)</f>
        <v>361.544160511548</v>
      </c>
      <c r="BD21" s="17">
        <f>BA21-BB21</f>
        <v>753.75</v>
      </c>
      <c r="BE21" s="42">
        <f>BA21/BB21</f>
        <v>2.3648709823449523</v>
      </c>
      <c r="BF21" s="13">
        <v>59</v>
      </c>
      <c r="BG21" s="13">
        <v>86</v>
      </c>
      <c r="BH21" s="13">
        <v>20</v>
      </c>
      <c r="BI21" s="13">
        <v>211</v>
      </c>
      <c r="BJ21" s="13">
        <v>224</v>
      </c>
      <c r="BK21" s="13">
        <v>21</v>
      </c>
      <c r="BL21" s="13">
        <v>236</v>
      </c>
      <c r="BM21" s="13">
        <v>145</v>
      </c>
      <c r="BN21" s="13">
        <v>294</v>
      </c>
      <c r="BO21" s="13">
        <v>282</v>
      </c>
      <c r="BP21" s="13">
        <v>169</v>
      </c>
      <c r="BQ21" s="13">
        <v>49</v>
      </c>
      <c r="BR21" s="13">
        <v>378</v>
      </c>
      <c r="BS21" s="13">
        <v>95</v>
      </c>
      <c r="BT21" s="13">
        <v>358</v>
      </c>
      <c r="BU21" s="13">
        <v>196</v>
      </c>
      <c r="BV21" s="13">
        <v>308</v>
      </c>
      <c r="BW21" s="13">
        <v>168</v>
      </c>
      <c r="BX21" s="13">
        <v>171</v>
      </c>
      <c r="BY21" s="13">
        <v>314</v>
      </c>
      <c r="BZ21" s="13">
        <v>177</v>
      </c>
      <c r="CA21" s="13">
        <v>237</v>
      </c>
      <c r="CB21" s="13">
        <v>40</v>
      </c>
      <c r="CC21" s="13">
        <v>196</v>
      </c>
      <c r="CD21" s="13">
        <v>34</v>
      </c>
      <c r="CE21" s="14">
        <f>AVERAGE(BF21:CD21)</f>
        <v>178.72</v>
      </c>
      <c r="CF21" s="41">
        <f>_xlfn.STDEV.P(BF21:CD21)</f>
        <v>105.75841148580098</v>
      </c>
      <c r="CG21" s="17">
        <f>MAX(BF21:CD21)</f>
        <v>378</v>
      </c>
      <c r="CH21" s="17">
        <f>AVERAGE(CB21:CD21)</f>
        <v>90</v>
      </c>
      <c r="CI21" s="41">
        <f>_xlfn.STDEV.P(CB21:CD21)</f>
        <v>74.9933330370107</v>
      </c>
      <c r="CJ21" s="41">
        <f>MAX(BY21:CD21)</f>
        <v>314</v>
      </c>
      <c r="CL21" s="23">
        <f t="shared" si="6"/>
        <v>5.60880195599022</v>
      </c>
      <c r="CM21" s="14">
        <f t="shared" si="7"/>
        <v>31</v>
      </c>
      <c r="CN21" s="43">
        <f>100*IF(CM21&gt;0,CM21,0)</f>
        <v>3100</v>
      </c>
      <c r="CO21" s="13">
        <f t="shared" si="8"/>
        <v>95</v>
      </c>
      <c r="CP21" s="43">
        <f>100*IF(CO21&gt;0,CO21,0)</f>
        <v>9500</v>
      </c>
      <c r="CQ21" s="13">
        <f>CE21+2*CF21</f>
        <v>390.23682297160195</v>
      </c>
      <c r="CR21" s="44">
        <f t="shared" si="9"/>
        <v>18.763177028398047</v>
      </c>
      <c r="CS21" s="43">
        <f>100*IF(CR21&gt;0,CR21,0)</f>
        <v>1876.3177028398047</v>
      </c>
      <c r="CU21" s="23">
        <f>SUM(BS21:CD21)/(0.8*BA21)</f>
        <v>2.1956355283307811</v>
      </c>
      <c r="CV21" s="14">
        <f>(0.65*AVERAGE(AD21:BA21))-CG21</f>
        <v>-19.037499999999966</v>
      </c>
      <c r="CW21" s="43">
        <f>20*IF(CV21&gt;0,CV21,0)</f>
        <v>0</v>
      </c>
      <c r="CX21" s="13">
        <f>0.8*BA21-CJ21</f>
        <v>730.8</v>
      </c>
      <c r="CY21" s="43">
        <f>20*IF(CX21&gt;0,CX21,0)</f>
        <v>14616</v>
      </c>
      <c r="CZ21" s="13">
        <f>CE21+2*CF21</f>
        <v>390.23682297160195</v>
      </c>
      <c r="DA21" s="44">
        <f>0.8*BA21-CQ21</f>
        <v>654.56317702839806</v>
      </c>
      <c r="DB21" s="43">
        <f>20*IF(DA21&gt;0,DA21,0)</f>
        <v>13091.263540567961</v>
      </c>
      <c r="DD21" s="23">
        <f t="shared" si="10"/>
        <v>1.4046044575067351</v>
      </c>
      <c r="DE21" s="57">
        <f t="shared" si="16"/>
        <v>67020</v>
      </c>
      <c r="DF21" s="14">
        <f t="shared" si="11"/>
        <v>1255.2</v>
      </c>
      <c r="DG21" s="43">
        <f>20*IF(DF21&gt;0,DF21,0)</f>
        <v>25104</v>
      </c>
      <c r="DH21" s="13">
        <f t="shared" si="12"/>
        <v>1319.2</v>
      </c>
      <c r="DI21" s="43">
        <f>20*IF(DH21&gt;0,DH21,0)</f>
        <v>26384</v>
      </c>
      <c r="DJ21" s="13">
        <f>CH23+2*CI23</f>
        <v>39.504196262643688</v>
      </c>
      <c r="DK21" s="44">
        <f t="shared" si="13"/>
        <v>1593.6958037373563</v>
      </c>
      <c r="DL21" s="43">
        <f>20*IF(DK21&gt;0,DK21,0)</f>
        <v>31873.916074747125</v>
      </c>
      <c r="DN21" s="13">
        <v>0</v>
      </c>
      <c r="DO21" s="13">
        <f>(C21-B21)+(AE21-AD21)+BG21</f>
        <v>65</v>
      </c>
      <c r="DP21" s="13">
        <f t="shared" si="17"/>
        <v>8</v>
      </c>
      <c r="DQ21" s="13">
        <f t="shared" si="18"/>
        <v>229</v>
      </c>
      <c r="DR21" s="13">
        <f t="shared" si="19"/>
        <v>-42</v>
      </c>
      <c r="DS21" s="13">
        <f t="shared" si="20"/>
        <v>186</v>
      </c>
      <c r="DT21" s="13">
        <f t="shared" si="21"/>
        <v>189</v>
      </c>
      <c r="DU21" s="13">
        <f t="shared" si="22"/>
        <v>-151</v>
      </c>
      <c r="DV21" s="13">
        <f t="shared" si="23"/>
        <v>551</v>
      </c>
      <c r="DW21" s="13">
        <f t="shared" si="24"/>
        <v>327</v>
      </c>
      <c r="DX21" s="13">
        <f t="shared" si="25"/>
        <v>118</v>
      </c>
      <c r="DY21" s="13">
        <f t="shared" si="26"/>
        <v>243</v>
      </c>
      <c r="DZ21" s="13">
        <f t="shared" si="27"/>
        <v>525</v>
      </c>
      <c r="EA21" s="13">
        <f t="shared" si="28"/>
        <v>295</v>
      </c>
      <c r="EB21" s="13">
        <f t="shared" si="29"/>
        <v>708</v>
      </c>
      <c r="EC21" s="13">
        <f t="shared" si="30"/>
        <v>281</v>
      </c>
      <c r="ED21" s="13">
        <f t="shared" si="31"/>
        <v>175</v>
      </c>
      <c r="EE21" s="13">
        <f t="shared" si="32"/>
        <v>80</v>
      </c>
      <c r="EF21" s="13">
        <f t="shared" si="33"/>
        <v>-138</v>
      </c>
      <c r="EG21" s="13">
        <f t="shared" si="34"/>
        <v>348</v>
      </c>
      <c r="EH21" s="13">
        <f t="shared" si="35"/>
        <v>194</v>
      </c>
      <c r="EI21" s="13">
        <f t="shared" si="36"/>
        <v>214</v>
      </c>
      <c r="EJ21" s="13">
        <f t="shared" si="37"/>
        <v>517</v>
      </c>
      <c r="EK21" s="13">
        <f t="shared" si="38"/>
        <v>477</v>
      </c>
      <c r="EL21" s="14">
        <f t="shared" si="15"/>
        <v>5399</v>
      </c>
    </row>
    <row r="22" spans="1:142" x14ac:dyDescent="0.2">
      <c r="A22" s="12">
        <v>36</v>
      </c>
      <c r="B22" s="13">
        <v>172</v>
      </c>
      <c r="C22" s="13">
        <v>141</v>
      </c>
      <c r="D22" s="13">
        <v>198</v>
      </c>
      <c r="E22" s="13">
        <v>220</v>
      </c>
      <c r="F22" s="13">
        <v>215</v>
      </c>
      <c r="G22" s="13">
        <v>192</v>
      </c>
      <c r="H22" s="13">
        <v>180</v>
      </c>
      <c r="I22" s="13">
        <v>132</v>
      </c>
      <c r="J22" s="13">
        <v>180</v>
      </c>
      <c r="K22" s="13">
        <v>151</v>
      </c>
      <c r="L22" s="13">
        <v>348</v>
      </c>
      <c r="M22" s="13">
        <v>232</v>
      </c>
      <c r="N22" s="13">
        <v>205</v>
      </c>
      <c r="O22" s="13">
        <v>153</v>
      </c>
      <c r="P22" s="13">
        <v>369</v>
      </c>
      <c r="Q22" s="13">
        <v>368</v>
      </c>
      <c r="R22" s="13">
        <v>408</v>
      </c>
      <c r="S22" s="13">
        <v>337</v>
      </c>
      <c r="T22" s="13">
        <v>331</v>
      </c>
      <c r="U22" s="13">
        <v>300</v>
      </c>
      <c r="V22" s="13">
        <v>352</v>
      </c>
      <c r="W22" s="13">
        <v>492</v>
      </c>
      <c r="X22" s="13">
        <v>546</v>
      </c>
      <c r="Y22" s="13">
        <v>546</v>
      </c>
      <c r="Z22" s="14">
        <f>AVERAGE(B22:Y22)</f>
        <v>282</v>
      </c>
      <c r="AA22" s="15">
        <f>_xlfn.STDEV.P(B22:Y22)</f>
        <v>124.22224706817481</v>
      </c>
      <c r="AB22" s="13">
        <f t="shared" si="4"/>
        <v>264</v>
      </c>
      <c r="AC22" s="19">
        <f t="shared" si="5"/>
        <v>1.9361702127659575</v>
      </c>
      <c r="AD22" s="14">
        <v>162</v>
      </c>
      <c r="AE22" s="17">
        <v>143</v>
      </c>
      <c r="AF22" s="17">
        <v>244</v>
      </c>
      <c r="AG22" s="17">
        <v>314</v>
      </c>
      <c r="AH22" s="17">
        <v>317</v>
      </c>
      <c r="AI22" s="17">
        <v>283</v>
      </c>
      <c r="AJ22" s="17">
        <v>357</v>
      </c>
      <c r="AK22" s="17">
        <v>373</v>
      </c>
      <c r="AL22" s="17">
        <v>207</v>
      </c>
      <c r="AM22" s="17">
        <v>137</v>
      </c>
      <c r="AN22" s="17">
        <v>365</v>
      </c>
      <c r="AO22" s="17">
        <v>547</v>
      </c>
      <c r="AP22" s="17">
        <v>749</v>
      </c>
      <c r="AQ22" s="17">
        <v>570</v>
      </c>
      <c r="AR22" s="17">
        <v>1218</v>
      </c>
      <c r="AS22" s="17">
        <v>1444</v>
      </c>
      <c r="AT22" s="17">
        <v>1423</v>
      </c>
      <c r="AU22" s="17">
        <v>1633</v>
      </c>
      <c r="AV22" s="17">
        <v>1428</v>
      </c>
      <c r="AW22" s="17">
        <v>709</v>
      </c>
      <c r="AX22" s="17">
        <v>693</v>
      </c>
      <c r="AY22" s="17">
        <v>615</v>
      </c>
      <c r="AZ22" s="17">
        <v>770</v>
      </c>
      <c r="BA22" s="40">
        <v>1402</v>
      </c>
      <c r="BB22" s="17">
        <f>AVERAGE(AD22:BA22)</f>
        <v>670.95833333333337</v>
      </c>
      <c r="BC22" s="41">
        <f>_xlfn.STDEV.P(AD22:BB22)</f>
        <v>466.75959372393555</v>
      </c>
      <c r="BD22" s="17">
        <f>BA22-BB22</f>
        <v>731.04166666666663</v>
      </c>
      <c r="BE22" s="42">
        <f>BA22/BB22</f>
        <v>2.0895485313295659</v>
      </c>
      <c r="BF22" s="13">
        <v>9</v>
      </c>
      <c r="BG22" s="13">
        <v>32</v>
      </c>
      <c r="BH22" s="13">
        <v>94</v>
      </c>
      <c r="BI22" s="13">
        <v>27</v>
      </c>
      <c r="BJ22" s="13">
        <v>11</v>
      </c>
      <c r="BK22" s="13">
        <v>15</v>
      </c>
      <c r="BL22" s="13">
        <v>99</v>
      </c>
      <c r="BM22" s="13">
        <v>124</v>
      </c>
      <c r="BN22" s="13">
        <v>39</v>
      </c>
      <c r="BO22" s="13">
        <v>197</v>
      </c>
      <c r="BP22" s="13">
        <v>255</v>
      </c>
      <c r="BQ22" s="13">
        <v>179</v>
      </c>
      <c r="BR22" s="13">
        <v>112</v>
      </c>
      <c r="BS22" s="13">
        <v>282</v>
      </c>
      <c r="BT22" s="13">
        <v>198</v>
      </c>
      <c r="BU22" s="13">
        <v>451</v>
      </c>
      <c r="BV22" s="13">
        <v>190</v>
      </c>
      <c r="BW22" s="13">
        <v>87</v>
      </c>
      <c r="BX22" s="13">
        <v>53</v>
      </c>
      <c r="BY22" s="13">
        <v>119</v>
      </c>
      <c r="BZ22" s="13">
        <v>237</v>
      </c>
      <c r="CA22" s="13">
        <v>296</v>
      </c>
      <c r="CB22" s="13">
        <v>2</v>
      </c>
      <c r="CC22" s="13">
        <v>48</v>
      </c>
      <c r="CD22" s="13">
        <v>64</v>
      </c>
      <c r="CE22" s="14">
        <f>AVERAGE(BF22:CD22)</f>
        <v>128.80000000000001</v>
      </c>
      <c r="CF22" s="41">
        <f>_xlfn.STDEV.P(BF22:CD22)</f>
        <v>110.33657598457549</v>
      </c>
      <c r="CG22" s="17">
        <f>MAX(BF22:CD22)</f>
        <v>451</v>
      </c>
      <c r="CH22" s="17">
        <f>AVERAGE(CB22:CD22)</f>
        <v>38</v>
      </c>
      <c r="CI22" s="41">
        <f>_xlfn.STDEV.P(CB22:CD22)</f>
        <v>26.280537792569366</v>
      </c>
      <c r="CJ22" s="41">
        <f>MAX(BY22:CD22)</f>
        <v>296</v>
      </c>
      <c r="CL22" s="23">
        <f t="shared" si="6"/>
        <v>3.7124542124542126</v>
      </c>
      <c r="CM22" s="14">
        <f t="shared" si="7"/>
        <v>95</v>
      </c>
      <c r="CN22" s="43">
        <f>100*IF(CM22&gt;0,CM22,0)</f>
        <v>9500</v>
      </c>
      <c r="CO22" s="13">
        <f t="shared" si="8"/>
        <v>250</v>
      </c>
      <c r="CP22" s="43">
        <f>100*IF(CO22&gt;0,CO22,0)</f>
        <v>25000</v>
      </c>
      <c r="CQ22" s="13">
        <f>CE22+2*CF22</f>
        <v>349.47315196915099</v>
      </c>
      <c r="CR22" s="44">
        <f t="shared" si="9"/>
        <v>196.52684803084901</v>
      </c>
      <c r="CS22" s="43">
        <f>100*IF(CR22&gt;0,CR22,0)</f>
        <v>19652.6848030849</v>
      </c>
      <c r="CU22" s="23">
        <f>SUM(BS22:CD22)/(0.8*BA22)</f>
        <v>1.807239657631954</v>
      </c>
      <c r="CV22" s="14">
        <f>(0.65*AVERAGE(AD22:BA22))-CG22</f>
        <v>-14.877083333333303</v>
      </c>
      <c r="CW22" s="43">
        <f>20*IF(CV22&gt;0,CV22,0)</f>
        <v>0</v>
      </c>
      <c r="CX22" s="13">
        <f>0.8*BA22-CJ22</f>
        <v>825.60000000000014</v>
      </c>
      <c r="CY22" s="43">
        <f>20*IF(CX22&gt;0,CX22,0)</f>
        <v>16512.000000000004</v>
      </c>
      <c r="CZ22" s="13">
        <f>CE22+2*CF22</f>
        <v>349.47315196915099</v>
      </c>
      <c r="DA22" s="44">
        <f>0.8*BA22-CQ22</f>
        <v>772.12684803084915</v>
      </c>
      <c r="DB22" s="43">
        <f>20*IF(DA22&gt;0,DA22,0)</f>
        <v>15442.536960616982</v>
      </c>
      <c r="DD22" s="23">
        <f t="shared" si="10"/>
        <v>1.1023493582771373</v>
      </c>
      <c r="DE22" s="57">
        <f t="shared" si="16"/>
        <v>82640</v>
      </c>
      <c r="DF22" s="14">
        <f t="shared" si="11"/>
        <v>1387.8</v>
      </c>
      <c r="DG22" s="43">
        <f>20*IF(DF22&gt;0,DF22,0)</f>
        <v>27756</v>
      </c>
      <c r="DH22" s="13">
        <f t="shared" si="12"/>
        <v>1542.8</v>
      </c>
      <c r="DI22" s="43">
        <f>20*IF(DH22&gt;0,DH22,0)</f>
        <v>30856</v>
      </c>
      <c r="DJ22" s="13">
        <f>CH24+2*CI24</f>
        <v>114.41883053985921</v>
      </c>
      <c r="DK22" s="44">
        <f t="shared" si="13"/>
        <v>1724.3811694601407</v>
      </c>
      <c r="DL22" s="43">
        <f>20*IF(DK22&gt;0,DK22,0)</f>
        <v>34487.62338920281</v>
      </c>
      <c r="DN22" s="13">
        <v>0</v>
      </c>
      <c r="DO22" s="13">
        <f>(C22-B22)+(AE22-AD22)+BG22</f>
        <v>-18</v>
      </c>
      <c r="DP22" s="13">
        <f t="shared" si="17"/>
        <v>252</v>
      </c>
      <c r="DQ22" s="13">
        <f t="shared" si="18"/>
        <v>119</v>
      </c>
      <c r="DR22" s="13">
        <f t="shared" si="19"/>
        <v>9</v>
      </c>
      <c r="DS22" s="13">
        <f t="shared" si="20"/>
        <v>-42</v>
      </c>
      <c r="DT22" s="13">
        <f t="shared" si="21"/>
        <v>161</v>
      </c>
      <c r="DU22" s="13">
        <f t="shared" si="22"/>
        <v>92</v>
      </c>
      <c r="DV22" s="13">
        <f t="shared" si="23"/>
        <v>-79</v>
      </c>
      <c r="DW22" s="13">
        <f t="shared" si="24"/>
        <v>98</v>
      </c>
      <c r="DX22" s="13">
        <f t="shared" si="25"/>
        <v>680</v>
      </c>
      <c r="DY22" s="13">
        <f t="shared" si="26"/>
        <v>245</v>
      </c>
      <c r="DZ22" s="13">
        <f t="shared" si="27"/>
        <v>287</v>
      </c>
      <c r="EA22" s="13">
        <f t="shared" si="28"/>
        <v>51</v>
      </c>
      <c r="EB22" s="13">
        <f t="shared" si="29"/>
        <v>1062</v>
      </c>
      <c r="EC22" s="13">
        <f t="shared" si="30"/>
        <v>676</v>
      </c>
      <c r="ED22" s="13">
        <f t="shared" si="31"/>
        <v>209</v>
      </c>
      <c r="EE22" s="13">
        <f t="shared" si="32"/>
        <v>226</v>
      </c>
      <c r="EF22" s="13">
        <f t="shared" si="33"/>
        <v>-158</v>
      </c>
      <c r="EG22" s="13">
        <f t="shared" si="34"/>
        <v>-631</v>
      </c>
      <c r="EH22" s="13">
        <f t="shared" si="35"/>
        <v>273</v>
      </c>
      <c r="EI22" s="13">
        <f t="shared" si="36"/>
        <v>358</v>
      </c>
      <c r="EJ22" s="13">
        <f t="shared" si="37"/>
        <v>211</v>
      </c>
      <c r="EK22" s="13">
        <f t="shared" si="38"/>
        <v>680</v>
      </c>
      <c r="EL22" s="14">
        <f t="shared" si="15"/>
        <v>4761</v>
      </c>
    </row>
    <row r="23" spans="1:142" x14ac:dyDescent="0.2">
      <c r="A23" s="12">
        <v>37</v>
      </c>
      <c r="B23" s="13">
        <v>142</v>
      </c>
      <c r="C23" s="13">
        <v>156</v>
      </c>
      <c r="D23" s="13">
        <v>161</v>
      </c>
      <c r="E23" s="13">
        <v>248</v>
      </c>
      <c r="F23" s="13">
        <v>137</v>
      </c>
      <c r="G23" s="13">
        <v>137</v>
      </c>
      <c r="H23" s="13">
        <v>76</v>
      </c>
      <c r="I23" s="13">
        <v>96</v>
      </c>
      <c r="J23" s="13">
        <v>99</v>
      </c>
      <c r="K23" s="13">
        <v>75</v>
      </c>
      <c r="L23" s="13">
        <v>102</v>
      </c>
      <c r="M23" s="13">
        <v>112</v>
      </c>
      <c r="N23" s="13">
        <v>120</v>
      </c>
      <c r="O23" s="13">
        <v>152</v>
      </c>
      <c r="P23" s="13">
        <v>250</v>
      </c>
      <c r="Q23" s="13">
        <v>287</v>
      </c>
      <c r="R23" s="13">
        <v>274</v>
      </c>
      <c r="S23" s="13">
        <v>276</v>
      </c>
      <c r="T23" s="13">
        <v>262</v>
      </c>
      <c r="U23" s="13">
        <v>267</v>
      </c>
      <c r="V23" s="13">
        <v>286</v>
      </c>
      <c r="W23" s="13">
        <v>299</v>
      </c>
      <c r="X23" s="13">
        <v>296</v>
      </c>
      <c r="Y23" s="13">
        <v>297</v>
      </c>
      <c r="Z23" s="14">
        <f>AVERAGE(B23:Y23)</f>
        <v>191.95833333333334</v>
      </c>
      <c r="AA23" s="15">
        <f>_xlfn.STDEV.P(B23:Y23)</f>
        <v>81.408680519271954</v>
      </c>
      <c r="AB23" s="13">
        <f t="shared" si="4"/>
        <v>105.04166666666666</v>
      </c>
      <c r="AC23" s="19">
        <f t="shared" si="5"/>
        <v>1.5472107662253092</v>
      </c>
      <c r="AD23" s="14">
        <v>199</v>
      </c>
      <c r="AE23" s="17">
        <v>186</v>
      </c>
      <c r="AF23" s="17">
        <v>290</v>
      </c>
      <c r="AG23" s="17">
        <v>184</v>
      </c>
      <c r="AH23" s="17">
        <v>172</v>
      </c>
      <c r="AI23" s="17">
        <v>149</v>
      </c>
      <c r="AJ23" s="17">
        <v>157</v>
      </c>
      <c r="AK23" s="17">
        <v>58</v>
      </c>
      <c r="AL23" s="17">
        <v>118</v>
      </c>
      <c r="AM23" s="17">
        <v>118</v>
      </c>
      <c r="AN23" s="17">
        <v>313</v>
      </c>
      <c r="AO23" s="17">
        <v>482</v>
      </c>
      <c r="AP23" s="17">
        <v>710</v>
      </c>
      <c r="AQ23" s="17">
        <v>847</v>
      </c>
      <c r="AR23" s="17">
        <v>1129</v>
      </c>
      <c r="AS23" s="17">
        <v>1110</v>
      </c>
      <c r="AT23" s="17">
        <v>1286</v>
      </c>
      <c r="AU23" s="17">
        <v>1317</v>
      </c>
      <c r="AV23" s="17">
        <v>1252</v>
      </c>
      <c r="AW23" s="17">
        <v>1137</v>
      </c>
      <c r="AX23" s="17">
        <v>1184</v>
      </c>
      <c r="AY23" s="17">
        <v>1189</v>
      </c>
      <c r="AZ23" s="17">
        <v>1165</v>
      </c>
      <c r="BA23" s="40">
        <v>1354</v>
      </c>
      <c r="BB23" s="17">
        <f>AVERAGE(AD23:BA23)</f>
        <v>671.08333333333337</v>
      </c>
      <c r="BC23" s="41">
        <f>_xlfn.STDEV.P(AD23:BB23)</f>
        <v>481.85266766236066</v>
      </c>
      <c r="BD23" s="17">
        <f>BA23-BB23</f>
        <v>682.91666666666663</v>
      </c>
      <c r="BE23" s="42">
        <f>BA23/BB23</f>
        <v>2.0176331801812988</v>
      </c>
      <c r="BF23" s="13">
        <v>61</v>
      </c>
      <c r="BG23" s="13">
        <v>70</v>
      </c>
      <c r="BH23" s="13">
        <v>13</v>
      </c>
      <c r="BI23" s="13">
        <v>2</v>
      </c>
      <c r="BJ23" s="13">
        <v>127</v>
      </c>
      <c r="BK23" s="13">
        <v>10</v>
      </c>
      <c r="BL23" s="13">
        <v>58</v>
      </c>
      <c r="BM23" s="13">
        <v>113</v>
      </c>
      <c r="BN23" s="13">
        <v>93</v>
      </c>
      <c r="BO23" s="13">
        <v>49</v>
      </c>
      <c r="BP23" s="13">
        <v>24</v>
      </c>
      <c r="BQ23" s="13">
        <v>9</v>
      </c>
      <c r="BR23" s="13">
        <v>32</v>
      </c>
      <c r="BS23" s="13">
        <v>116</v>
      </c>
      <c r="BT23" s="13">
        <v>28</v>
      </c>
      <c r="BU23" s="13">
        <v>22</v>
      </c>
      <c r="BV23" s="13">
        <v>60</v>
      </c>
      <c r="BW23" s="13">
        <v>2</v>
      </c>
      <c r="BX23" s="13">
        <v>64</v>
      </c>
      <c r="BY23" s="13">
        <v>6</v>
      </c>
      <c r="BZ23" s="13">
        <v>33</v>
      </c>
      <c r="CA23" s="13">
        <v>33</v>
      </c>
      <c r="CB23" s="13">
        <v>19</v>
      </c>
      <c r="CC23" s="13">
        <v>29</v>
      </c>
      <c r="CD23" s="13">
        <v>1</v>
      </c>
      <c r="CE23" s="14">
        <f>AVERAGE(BF23:CD23)</f>
        <v>42.96</v>
      </c>
      <c r="CF23" s="41">
        <f>_xlfn.STDEV.P(BF23:CD23)</f>
        <v>36.654582251063779</v>
      </c>
      <c r="CG23" s="17">
        <f>MAX(BF23:CD23)</f>
        <v>127</v>
      </c>
      <c r="CH23" s="17">
        <f>AVERAGE(CB23:CD23)</f>
        <v>16.333333333333332</v>
      </c>
      <c r="CI23" s="41">
        <f>_xlfn.STDEV.P(CB23:CD23)</f>
        <v>11.585431464655178</v>
      </c>
      <c r="CJ23" s="41">
        <f>MAX(BY23:CD23)</f>
        <v>33</v>
      </c>
      <c r="CL23" s="23">
        <f t="shared" si="6"/>
        <v>1.3905723905723906</v>
      </c>
      <c r="CM23" s="14">
        <f t="shared" si="7"/>
        <v>170</v>
      </c>
      <c r="CN23" s="43">
        <f>100*IF(CM23&gt;0,CM23,0)</f>
        <v>17000</v>
      </c>
      <c r="CO23" s="13">
        <f t="shared" si="8"/>
        <v>264</v>
      </c>
      <c r="CP23" s="43">
        <f>100*IF(CO23&gt;0,CO23,0)</f>
        <v>26400</v>
      </c>
      <c r="CQ23" s="13">
        <f>CE23+2*CF23</f>
        <v>116.26916450212755</v>
      </c>
      <c r="CR23" s="44">
        <f t="shared" si="9"/>
        <v>180.73083549787245</v>
      </c>
      <c r="CS23" s="43">
        <f>100*IF(CR23&gt;0,CR23,0)</f>
        <v>18073.083549787243</v>
      </c>
      <c r="CU23" s="23">
        <f>SUM(BS23:CD23)/(0.8*BA23)</f>
        <v>0.38127769571639586</v>
      </c>
      <c r="CV23" s="14">
        <f>(0.65*AVERAGE(AD23:BA23))-CG23</f>
        <v>309.20416666666671</v>
      </c>
      <c r="CW23" s="43">
        <f>20*IF(CV23&gt;0,CV23,0)</f>
        <v>6184.0833333333339</v>
      </c>
      <c r="CX23" s="13">
        <f>0.8*BA23-CJ23</f>
        <v>1050.2</v>
      </c>
      <c r="CY23" s="43">
        <f>20*IF(CX23&gt;0,CX23,0)</f>
        <v>21004</v>
      </c>
      <c r="CZ23" s="13">
        <f>CE23+2*CF23</f>
        <v>116.26916450212755</v>
      </c>
      <c r="DA23" s="44">
        <f>0.8*BA23-CQ23</f>
        <v>966.93083549787252</v>
      </c>
      <c r="DB23" s="43">
        <f>20*IF(DA23&gt;0,DA23,0)</f>
        <v>19338.616709957452</v>
      </c>
      <c r="DD23" s="23">
        <f t="shared" si="10"/>
        <v>0.25948730836893691</v>
      </c>
      <c r="DE23" s="57">
        <f t="shared" si="16"/>
        <v>56780</v>
      </c>
      <c r="DF23" s="14">
        <f t="shared" si="11"/>
        <v>1464.6</v>
      </c>
      <c r="DG23" s="43">
        <f>20*IF(DF23&gt;0,DF23,0)</f>
        <v>29292</v>
      </c>
      <c r="DH23" s="13">
        <f t="shared" si="12"/>
        <v>1558.6</v>
      </c>
      <c r="DI23" s="43">
        <f>20*IF(DH23&gt;0,DH23,0)</f>
        <v>31172</v>
      </c>
      <c r="DJ23" s="13">
        <f>CH25+2*CI25</f>
        <v>104.40687372975199</v>
      </c>
      <c r="DK23" s="44">
        <f t="shared" si="13"/>
        <v>1487.1931262702478</v>
      </c>
      <c r="DL23" s="43">
        <f>20*IF(DK23&gt;0,DK23,0)</f>
        <v>29743.862525404955</v>
      </c>
      <c r="DN23" s="13">
        <v>0</v>
      </c>
      <c r="DO23" s="13">
        <f>(C23-B23)+(AE23-AD23)+BG23</f>
        <v>71</v>
      </c>
      <c r="DP23" s="13">
        <f t="shared" si="17"/>
        <v>122</v>
      </c>
      <c r="DQ23" s="13">
        <f t="shared" si="18"/>
        <v>-17</v>
      </c>
      <c r="DR23" s="13">
        <f t="shared" si="19"/>
        <v>4</v>
      </c>
      <c r="DS23" s="13">
        <f t="shared" si="20"/>
        <v>-13</v>
      </c>
      <c r="DT23" s="13">
        <f t="shared" si="21"/>
        <v>5</v>
      </c>
      <c r="DU23" s="13">
        <f t="shared" si="22"/>
        <v>34</v>
      </c>
      <c r="DV23" s="13">
        <f t="shared" si="23"/>
        <v>156</v>
      </c>
      <c r="DW23" s="13">
        <f t="shared" si="24"/>
        <v>25</v>
      </c>
      <c r="DX23" s="13">
        <f t="shared" si="25"/>
        <v>246</v>
      </c>
      <c r="DY23" s="13">
        <f t="shared" si="26"/>
        <v>188</v>
      </c>
      <c r="DZ23" s="13">
        <f t="shared" si="27"/>
        <v>268</v>
      </c>
      <c r="EA23" s="13">
        <f t="shared" si="28"/>
        <v>285</v>
      </c>
      <c r="EB23" s="13">
        <f t="shared" si="29"/>
        <v>408</v>
      </c>
      <c r="EC23" s="13">
        <f t="shared" si="30"/>
        <v>40</v>
      </c>
      <c r="ED23" s="13">
        <f t="shared" si="31"/>
        <v>223</v>
      </c>
      <c r="EE23" s="13">
        <f t="shared" si="32"/>
        <v>35</v>
      </c>
      <c r="EF23" s="13">
        <f t="shared" si="33"/>
        <v>-15</v>
      </c>
      <c r="EG23" s="13">
        <f t="shared" si="34"/>
        <v>-104</v>
      </c>
      <c r="EH23" s="13">
        <f t="shared" si="35"/>
        <v>99</v>
      </c>
      <c r="EI23" s="13">
        <f t="shared" si="36"/>
        <v>51</v>
      </c>
      <c r="EJ23" s="13">
        <f t="shared" si="37"/>
        <v>-8</v>
      </c>
      <c r="EK23" s="13">
        <f t="shared" si="38"/>
        <v>219</v>
      </c>
      <c r="EL23" s="14">
        <f t="shared" si="15"/>
        <v>2322</v>
      </c>
    </row>
    <row r="24" spans="1:142" x14ac:dyDescent="0.2">
      <c r="A24" s="12">
        <v>38</v>
      </c>
      <c r="B24" s="13">
        <v>273</v>
      </c>
      <c r="C24" s="13">
        <v>271</v>
      </c>
      <c r="D24" s="13">
        <v>246</v>
      </c>
      <c r="E24" s="13">
        <v>288</v>
      </c>
      <c r="F24" s="13">
        <v>267</v>
      </c>
      <c r="G24" s="13">
        <v>254</v>
      </c>
      <c r="H24" s="13">
        <v>231</v>
      </c>
      <c r="I24" s="13">
        <v>221</v>
      </c>
      <c r="J24" s="13">
        <v>269</v>
      </c>
      <c r="K24" s="13">
        <v>315</v>
      </c>
      <c r="L24" s="13">
        <v>351</v>
      </c>
      <c r="M24" s="13">
        <v>610</v>
      </c>
      <c r="N24" s="13">
        <v>620</v>
      </c>
      <c r="O24" s="13">
        <v>457</v>
      </c>
      <c r="P24" s="13">
        <v>451</v>
      </c>
      <c r="Q24" s="13">
        <v>436</v>
      </c>
      <c r="R24" s="13">
        <v>456</v>
      </c>
      <c r="S24" s="13">
        <v>429</v>
      </c>
      <c r="T24" s="13">
        <v>447</v>
      </c>
      <c r="U24" s="13">
        <v>460</v>
      </c>
      <c r="V24" s="13">
        <v>490</v>
      </c>
      <c r="W24" s="13">
        <v>545</v>
      </c>
      <c r="X24" s="13">
        <v>567</v>
      </c>
      <c r="Y24" s="13">
        <v>567</v>
      </c>
      <c r="Z24" s="14">
        <f>AVERAGE(B24:Y24)</f>
        <v>396.70833333333331</v>
      </c>
      <c r="AA24" s="15">
        <f>_xlfn.STDEV.P(B24:Y24)</f>
        <v>127.39357622693889</v>
      </c>
      <c r="AB24" s="13">
        <f t="shared" si="4"/>
        <v>170.29166666666669</v>
      </c>
      <c r="AC24" s="19">
        <f t="shared" si="5"/>
        <v>1.4292616321814937</v>
      </c>
      <c r="AD24" s="14">
        <v>1518</v>
      </c>
      <c r="AE24" s="17">
        <v>1495</v>
      </c>
      <c r="AF24" s="17">
        <v>1401</v>
      </c>
      <c r="AG24" s="17">
        <v>904</v>
      </c>
      <c r="AH24" s="17">
        <v>901</v>
      </c>
      <c r="AI24" s="17">
        <v>905</v>
      </c>
      <c r="AJ24" s="17">
        <v>1111</v>
      </c>
      <c r="AK24" s="17">
        <v>1321</v>
      </c>
      <c r="AL24" s="17">
        <v>1654</v>
      </c>
      <c r="AM24" s="17">
        <v>1710</v>
      </c>
      <c r="AN24" s="17">
        <v>2299</v>
      </c>
      <c r="AO24" s="17">
        <v>1915</v>
      </c>
      <c r="AP24" s="17">
        <v>3021</v>
      </c>
      <c r="AQ24" s="17">
        <v>3796</v>
      </c>
      <c r="AR24" s="17">
        <v>3946</v>
      </c>
      <c r="AS24" s="17">
        <v>4172</v>
      </c>
      <c r="AT24" s="17">
        <v>4135</v>
      </c>
      <c r="AU24" s="17">
        <v>4037</v>
      </c>
      <c r="AV24" s="17">
        <v>4352</v>
      </c>
      <c r="AW24" s="17">
        <v>4358</v>
      </c>
      <c r="AX24" s="17">
        <v>4316</v>
      </c>
      <c r="AY24" s="17">
        <v>4322</v>
      </c>
      <c r="AZ24" s="17">
        <v>4175</v>
      </c>
      <c r="BA24" s="40">
        <v>4260</v>
      </c>
      <c r="BB24" s="17">
        <f>AVERAGE(AD24:BA24)</f>
        <v>2751</v>
      </c>
      <c r="BC24" s="41">
        <f>_xlfn.STDEV.P(AD24:BB24)</f>
        <v>1351.0877987754905</v>
      </c>
      <c r="BD24" s="17">
        <f>BA24-BB24</f>
        <v>1509</v>
      </c>
      <c r="BE24" s="42">
        <f>BA24/BB24</f>
        <v>1.5485278080697928</v>
      </c>
      <c r="BF24" s="13">
        <v>11</v>
      </c>
      <c r="BG24" s="13">
        <v>8</v>
      </c>
      <c r="BH24" s="13">
        <v>0</v>
      </c>
      <c r="BI24" s="13">
        <v>4</v>
      </c>
      <c r="BJ24" s="13">
        <v>20</v>
      </c>
      <c r="BK24" s="13">
        <v>16</v>
      </c>
      <c r="BL24" s="13">
        <v>49</v>
      </c>
      <c r="BM24" s="13">
        <v>68</v>
      </c>
      <c r="BN24" s="13">
        <v>46</v>
      </c>
      <c r="BO24" s="13">
        <v>26</v>
      </c>
      <c r="BP24" s="13">
        <v>2</v>
      </c>
      <c r="BQ24" s="13">
        <v>8</v>
      </c>
      <c r="BR24" s="13">
        <v>15</v>
      </c>
      <c r="BS24" s="13">
        <v>9</v>
      </c>
      <c r="BT24" s="13">
        <v>88</v>
      </c>
      <c r="BU24" s="13">
        <v>118</v>
      </c>
      <c r="BV24" s="13">
        <v>20</v>
      </c>
      <c r="BW24" s="13">
        <v>49</v>
      </c>
      <c r="BX24" s="13">
        <v>30</v>
      </c>
      <c r="BY24" s="13">
        <v>82</v>
      </c>
      <c r="BZ24" s="13">
        <v>29</v>
      </c>
      <c r="CA24" s="13">
        <v>68</v>
      </c>
      <c r="CB24" s="13">
        <v>90</v>
      </c>
      <c r="CC24" s="13">
        <v>27</v>
      </c>
      <c r="CD24" s="13">
        <v>0</v>
      </c>
      <c r="CE24" s="14">
        <f>AVERAGE(BF24:CD24)</f>
        <v>35.32</v>
      </c>
      <c r="CF24" s="41">
        <f>_xlfn.STDEV.P(BF24:CD24)</f>
        <v>32.402123387210288</v>
      </c>
      <c r="CG24" s="17">
        <f>MAX(BF24:CD24)</f>
        <v>118</v>
      </c>
      <c r="CH24" s="17">
        <f>AVERAGE(CB24:CD24)</f>
        <v>39</v>
      </c>
      <c r="CI24" s="41">
        <f>_xlfn.STDEV.P(CB24:CD24)</f>
        <v>37.709415269929607</v>
      </c>
      <c r="CJ24" s="41">
        <f>MAX(BY24:CD24)</f>
        <v>90</v>
      </c>
      <c r="CL24" s="23">
        <f t="shared" si="6"/>
        <v>1.0758377425044092</v>
      </c>
      <c r="CM24" s="14">
        <f t="shared" si="7"/>
        <v>449</v>
      </c>
      <c r="CN24" s="43">
        <f>100*IF(CM24&gt;0,CM24,0)</f>
        <v>44900</v>
      </c>
      <c r="CO24" s="13">
        <f t="shared" si="8"/>
        <v>477</v>
      </c>
      <c r="CP24" s="43">
        <f>100*IF(CO24&gt;0,CO24,0)</f>
        <v>47700</v>
      </c>
      <c r="CQ24" s="13">
        <f>CE24+2*CF24</f>
        <v>100.12424677442058</v>
      </c>
      <c r="CR24" s="44">
        <f t="shared" si="9"/>
        <v>466.87575322557939</v>
      </c>
      <c r="CS24" s="43">
        <f>100*IF(CR24&gt;0,CR24,0)</f>
        <v>46687.575322557939</v>
      </c>
      <c r="CU24" s="23">
        <f>SUM(BS24:CD24)/(0.8*BA24)</f>
        <v>0.1789906103286385</v>
      </c>
      <c r="CV24" s="14">
        <f>(0.65*AVERAGE(AD24:BA24))-CG24</f>
        <v>1670.15</v>
      </c>
      <c r="CW24" s="43">
        <f>20*IF(CV24&gt;0,CV24,0)</f>
        <v>33403</v>
      </c>
      <c r="CX24" s="13">
        <f>0.8*BA24-CJ24</f>
        <v>3318</v>
      </c>
      <c r="CY24" s="43">
        <f>20*IF(CX24&gt;0,CX24,0)</f>
        <v>66360</v>
      </c>
      <c r="CZ24" s="13">
        <f>CE24+2*CF24</f>
        <v>100.12424677442058</v>
      </c>
      <c r="DA24" s="44">
        <f>0.8*BA24-CQ24</f>
        <v>3307.8757532255795</v>
      </c>
      <c r="DB24" s="43">
        <f>20*IF(DA24&gt;0,DA24,0)</f>
        <v>66157.515064511594</v>
      </c>
      <c r="DD24" s="23">
        <f t="shared" si="10"/>
        <v>0.12941276306856753</v>
      </c>
      <c r="DE24" s="57">
        <f t="shared" si="16"/>
        <v>141900</v>
      </c>
      <c r="DF24" s="14">
        <f t="shared" si="11"/>
        <v>4595.6000000000004</v>
      </c>
      <c r="DG24" s="43">
        <f>20*IF(DF24&gt;0,DF24,0)</f>
        <v>91912</v>
      </c>
      <c r="DH24" s="13">
        <f t="shared" si="12"/>
        <v>4623.6000000000004</v>
      </c>
      <c r="DI24" s="43">
        <f>20*IF(DH24&gt;0,DH24,0)</f>
        <v>92472</v>
      </c>
      <c r="DJ24" s="13">
        <f>CH26+2*CI26</f>
        <v>116.73968228260884</v>
      </c>
      <c r="DK24" s="44">
        <f t="shared" si="13"/>
        <v>4596.8603177173918</v>
      </c>
      <c r="DL24" s="43">
        <f>20*IF(DK24&gt;0,DK24,0)</f>
        <v>91937.206354347843</v>
      </c>
      <c r="DN24" s="13">
        <v>0</v>
      </c>
      <c r="DO24" s="13">
        <f>(C24-B24)+(AE24-AD24)+BG24</f>
        <v>-17</v>
      </c>
      <c r="DP24" s="13">
        <f t="shared" si="17"/>
        <v>-119</v>
      </c>
      <c r="DQ24" s="13">
        <f t="shared" si="18"/>
        <v>-451</v>
      </c>
      <c r="DR24" s="13">
        <f t="shared" si="19"/>
        <v>-4</v>
      </c>
      <c r="DS24" s="13">
        <f t="shared" si="20"/>
        <v>7</v>
      </c>
      <c r="DT24" s="13">
        <f t="shared" si="21"/>
        <v>232</v>
      </c>
      <c r="DU24" s="13">
        <f t="shared" si="22"/>
        <v>268</v>
      </c>
      <c r="DV24" s="13">
        <f t="shared" si="23"/>
        <v>427</v>
      </c>
      <c r="DW24" s="13">
        <f t="shared" si="24"/>
        <v>128</v>
      </c>
      <c r="DX24" s="13">
        <f t="shared" si="25"/>
        <v>627</v>
      </c>
      <c r="DY24" s="13">
        <f t="shared" si="26"/>
        <v>-117</v>
      </c>
      <c r="DZ24" s="13">
        <f t="shared" si="27"/>
        <v>1131</v>
      </c>
      <c r="EA24" s="13">
        <f t="shared" si="28"/>
        <v>621</v>
      </c>
      <c r="EB24" s="13">
        <f t="shared" si="29"/>
        <v>232</v>
      </c>
      <c r="EC24" s="13">
        <f t="shared" si="30"/>
        <v>329</v>
      </c>
      <c r="ED24" s="13">
        <f t="shared" si="31"/>
        <v>3</v>
      </c>
      <c r="EE24" s="13">
        <f t="shared" si="32"/>
        <v>-76</v>
      </c>
      <c r="EF24" s="13">
        <f t="shared" si="33"/>
        <v>363</v>
      </c>
      <c r="EG24" s="13">
        <f t="shared" si="34"/>
        <v>101</v>
      </c>
      <c r="EH24" s="13">
        <f t="shared" si="35"/>
        <v>17</v>
      </c>
      <c r="EI24" s="13">
        <f t="shared" si="36"/>
        <v>129</v>
      </c>
      <c r="EJ24" s="13">
        <f t="shared" si="37"/>
        <v>-35</v>
      </c>
      <c r="EK24" s="13">
        <f t="shared" si="38"/>
        <v>112</v>
      </c>
      <c r="EL24" s="14">
        <f t="shared" si="15"/>
        <v>3908</v>
      </c>
    </row>
    <row r="25" spans="1:142" x14ac:dyDescent="0.2">
      <c r="A25" s="12">
        <v>39</v>
      </c>
      <c r="B25" s="13">
        <v>1076</v>
      </c>
      <c r="C25" s="13">
        <v>1085</v>
      </c>
      <c r="D25" s="13">
        <v>857</v>
      </c>
      <c r="E25" s="13">
        <v>863</v>
      </c>
      <c r="F25" s="13">
        <v>755</v>
      </c>
      <c r="G25" s="13">
        <v>717</v>
      </c>
      <c r="H25" s="13">
        <v>640</v>
      </c>
      <c r="I25" s="13">
        <v>644</v>
      </c>
      <c r="J25" s="13">
        <v>466</v>
      </c>
      <c r="K25" s="13">
        <v>524</v>
      </c>
      <c r="L25" s="13">
        <v>428</v>
      </c>
      <c r="M25" s="13">
        <v>615</v>
      </c>
      <c r="N25" s="13">
        <v>828</v>
      </c>
      <c r="O25" s="13">
        <v>1121</v>
      </c>
      <c r="P25" s="13">
        <v>738</v>
      </c>
      <c r="Q25" s="13">
        <v>1043</v>
      </c>
      <c r="R25" s="13">
        <v>1065</v>
      </c>
      <c r="S25" s="13">
        <v>1094</v>
      </c>
      <c r="T25" s="13">
        <v>561</v>
      </c>
      <c r="U25" s="13">
        <v>601</v>
      </c>
      <c r="V25" s="13">
        <v>677</v>
      </c>
      <c r="W25" s="13">
        <v>646</v>
      </c>
      <c r="X25" s="13">
        <v>912</v>
      </c>
      <c r="Y25" s="13">
        <v>1114</v>
      </c>
      <c r="Z25" s="14">
        <f>AVERAGE(B25:Y25)</f>
        <v>794.58333333333337</v>
      </c>
      <c r="AA25" s="15">
        <f>_xlfn.STDEV.P(B25:Y25)</f>
        <v>219.20232599637765</v>
      </c>
      <c r="AB25" s="13">
        <f t="shared" si="4"/>
        <v>319.41666666666663</v>
      </c>
      <c r="AC25" s="19">
        <f t="shared" si="5"/>
        <v>1.4019926586261142</v>
      </c>
      <c r="AD25" s="14">
        <v>1746</v>
      </c>
      <c r="AE25" s="17">
        <v>1789</v>
      </c>
      <c r="AF25" s="17">
        <v>1619</v>
      </c>
      <c r="AG25" s="17">
        <v>1447</v>
      </c>
      <c r="AH25" s="17">
        <v>1417</v>
      </c>
      <c r="AI25" s="17">
        <v>1365</v>
      </c>
      <c r="AJ25" s="17">
        <v>1459</v>
      </c>
      <c r="AK25" s="17">
        <v>1249</v>
      </c>
      <c r="AL25" s="17">
        <v>405</v>
      </c>
      <c r="AM25" s="17">
        <v>261</v>
      </c>
      <c r="AN25" s="17">
        <v>493</v>
      </c>
      <c r="AO25" s="17">
        <v>1076</v>
      </c>
      <c r="AP25" s="17">
        <v>2503</v>
      </c>
      <c r="AQ25" s="17">
        <v>2211</v>
      </c>
      <c r="AR25" s="17">
        <v>2635</v>
      </c>
      <c r="AS25" s="17">
        <v>3512</v>
      </c>
      <c r="AT25" s="17">
        <v>3265</v>
      </c>
      <c r="AU25" s="17">
        <v>2771</v>
      </c>
      <c r="AV25" s="17">
        <v>3211</v>
      </c>
      <c r="AW25" s="17">
        <v>2879</v>
      </c>
      <c r="AX25" s="17">
        <v>2582</v>
      </c>
      <c r="AY25" s="17">
        <v>2273</v>
      </c>
      <c r="AZ25" s="17">
        <v>1848</v>
      </c>
      <c r="BA25" s="40">
        <v>2501</v>
      </c>
      <c r="BB25" s="17">
        <f>AVERAGE(AD25:BA25)</f>
        <v>1938.2083333333333</v>
      </c>
      <c r="BC25" s="41">
        <f>_xlfn.STDEV.P(AD25:BB25)</f>
        <v>868.77435409508541</v>
      </c>
      <c r="BD25" s="17">
        <f>BA25-BB25</f>
        <v>562.79166666666674</v>
      </c>
      <c r="BE25" s="42">
        <f>BA25/BB25</f>
        <v>1.2903669626158178</v>
      </c>
      <c r="BF25" s="13">
        <v>58</v>
      </c>
      <c r="BG25" s="13">
        <v>170</v>
      </c>
      <c r="BH25" s="13">
        <v>289</v>
      </c>
      <c r="BI25" s="13">
        <v>244</v>
      </c>
      <c r="BJ25" s="13">
        <v>108</v>
      </c>
      <c r="BK25" s="13">
        <v>6</v>
      </c>
      <c r="BL25" s="13">
        <v>84</v>
      </c>
      <c r="BM25" s="13">
        <v>422</v>
      </c>
      <c r="BN25" s="13">
        <v>671</v>
      </c>
      <c r="BO25" s="13">
        <v>930</v>
      </c>
      <c r="BP25" s="13">
        <v>251</v>
      </c>
      <c r="BQ25" s="13">
        <v>1175</v>
      </c>
      <c r="BR25" s="13">
        <v>648</v>
      </c>
      <c r="BS25" s="13">
        <v>540</v>
      </c>
      <c r="BT25" s="13">
        <v>1731</v>
      </c>
      <c r="BU25" s="13">
        <v>484</v>
      </c>
      <c r="BV25" s="13">
        <v>176</v>
      </c>
      <c r="BW25" s="13">
        <v>81</v>
      </c>
      <c r="BX25" s="13">
        <v>515</v>
      </c>
      <c r="BY25" s="13">
        <v>74</v>
      </c>
      <c r="BZ25" s="13">
        <v>303</v>
      </c>
      <c r="CA25" s="13">
        <v>305</v>
      </c>
      <c r="CB25" s="13">
        <v>27</v>
      </c>
      <c r="CC25" s="13">
        <v>88</v>
      </c>
      <c r="CD25" s="13">
        <v>44</v>
      </c>
      <c r="CE25" s="14">
        <f>AVERAGE(BF25:CD25)</f>
        <v>376.96</v>
      </c>
      <c r="CF25" s="41">
        <f>_xlfn.STDEV.P(BF25:CD25)</f>
        <v>401.20114456466848</v>
      </c>
      <c r="CG25" s="17">
        <f>MAX(BF25:CD25)</f>
        <v>1731</v>
      </c>
      <c r="CH25" s="17">
        <f>AVERAGE(CB25:CD25)</f>
        <v>53</v>
      </c>
      <c r="CI25" s="41">
        <f>_xlfn.STDEV.P(CB25:CD25)</f>
        <v>25.703436864876</v>
      </c>
      <c r="CJ25" s="41">
        <f>MAX(BY25:CD25)</f>
        <v>305</v>
      </c>
      <c r="CL25" s="23">
        <f t="shared" si="6"/>
        <v>3.9210053859964091</v>
      </c>
      <c r="CM25" s="14">
        <f t="shared" si="7"/>
        <v>-617</v>
      </c>
      <c r="CN25" s="43">
        <f>100*IF(CM25&gt;0,CM25,0)</f>
        <v>0</v>
      </c>
      <c r="CO25" s="13">
        <f t="shared" si="8"/>
        <v>809</v>
      </c>
      <c r="CP25" s="43">
        <f>100*IF(CO25&gt;0,CO25,0)</f>
        <v>80900</v>
      </c>
      <c r="CQ25" s="13">
        <f>CE25+2*CF25</f>
        <v>1179.3622891293369</v>
      </c>
      <c r="CR25" s="44">
        <f t="shared" si="9"/>
        <v>-65.362289129336887</v>
      </c>
      <c r="CS25" s="43">
        <f>100*IF(CR25&gt;0,CR25,0)</f>
        <v>0</v>
      </c>
      <c r="CU25" s="23">
        <f>SUM(BS25:CD25)/(0.8*BA25)</f>
        <v>2.1831267493002797</v>
      </c>
      <c r="CV25" s="14">
        <f>(0.65*AVERAGE(AD25:BA25))-CG25</f>
        <v>-471.16458333333344</v>
      </c>
      <c r="CW25" s="43">
        <f>20*IF(CV25&gt;0,CV25,0)</f>
        <v>0</v>
      </c>
      <c r="CX25" s="13">
        <f>0.8*BA25-CJ25</f>
        <v>1695.8000000000002</v>
      </c>
      <c r="CY25" s="43">
        <f>20*IF(CX25&gt;0,CX25,0)</f>
        <v>33916</v>
      </c>
      <c r="CZ25" s="13">
        <f>CE25+2*CF25</f>
        <v>1179.3622891293369</v>
      </c>
      <c r="DA25" s="44">
        <f>0.8*BA25-CQ25</f>
        <v>821.4377108706633</v>
      </c>
      <c r="DB25" s="43">
        <f>20*IF(DA25&gt;0,DA25,0)</f>
        <v>16428.754217413265</v>
      </c>
      <c r="DD25" s="23">
        <f t="shared" si="10"/>
        <v>1.2876599257119274</v>
      </c>
      <c r="DE25" s="57">
        <f t="shared" si="16"/>
        <v>161420</v>
      </c>
      <c r="DF25" s="14">
        <f t="shared" si="11"/>
        <v>1661.1999999999998</v>
      </c>
      <c r="DG25" s="43">
        <f>20*IF(DF25&gt;0,DF25,0)</f>
        <v>33224</v>
      </c>
      <c r="DH25" s="13">
        <f t="shared" si="12"/>
        <v>3087.2</v>
      </c>
      <c r="DI25" s="43">
        <f>20*IF(DH25&gt;0,DH25,0)</f>
        <v>61744</v>
      </c>
      <c r="DJ25" s="13">
        <f>CH27+2*CI27</f>
        <v>80.056246241604711</v>
      </c>
      <c r="DK25" s="44">
        <f t="shared" si="13"/>
        <v>3312.1437537583952</v>
      </c>
      <c r="DL25" s="43">
        <f>20*IF(DK25&gt;0,DK25,0)</f>
        <v>66242.875075167904</v>
      </c>
      <c r="DN25" s="13">
        <v>0</v>
      </c>
      <c r="DO25" s="13">
        <f>(C25-B25)+(AE25-AD25)+BG25</f>
        <v>222</v>
      </c>
      <c r="DP25" s="13">
        <f t="shared" si="17"/>
        <v>-109</v>
      </c>
      <c r="DQ25" s="13">
        <f t="shared" si="18"/>
        <v>78</v>
      </c>
      <c r="DR25" s="13">
        <f t="shared" si="19"/>
        <v>-30</v>
      </c>
      <c r="DS25" s="13">
        <f t="shared" si="20"/>
        <v>-84</v>
      </c>
      <c r="DT25" s="13">
        <f t="shared" si="21"/>
        <v>101</v>
      </c>
      <c r="DU25" s="13">
        <f t="shared" si="22"/>
        <v>216</v>
      </c>
      <c r="DV25" s="13">
        <f t="shared" si="23"/>
        <v>-351</v>
      </c>
      <c r="DW25" s="13">
        <f t="shared" si="24"/>
        <v>844</v>
      </c>
      <c r="DX25" s="13">
        <f t="shared" si="25"/>
        <v>387</v>
      </c>
      <c r="DY25" s="13">
        <f t="shared" si="26"/>
        <v>1945</v>
      </c>
      <c r="DZ25" s="13">
        <f t="shared" si="27"/>
        <v>2288</v>
      </c>
      <c r="EA25" s="13">
        <f t="shared" si="28"/>
        <v>541</v>
      </c>
      <c r="EB25" s="13">
        <f t="shared" si="29"/>
        <v>1772</v>
      </c>
      <c r="EC25" s="13">
        <f t="shared" si="30"/>
        <v>1666</v>
      </c>
      <c r="ED25" s="13">
        <f t="shared" si="31"/>
        <v>-49</v>
      </c>
      <c r="EE25" s="13">
        <f t="shared" si="32"/>
        <v>-384</v>
      </c>
      <c r="EF25" s="13">
        <f t="shared" si="33"/>
        <v>422</v>
      </c>
      <c r="EG25" s="13">
        <f t="shared" si="34"/>
        <v>-218</v>
      </c>
      <c r="EH25" s="13">
        <f t="shared" si="35"/>
        <v>82</v>
      </c>
      <c r="EI25" s="13">
        <f t="shared" si="36"/>
        <v>-35</v>
      </c>
      <c r="EJ25" s="13">
        <f t="shared" si="37"/>
        <v>-132</v>
      </c>
      <c r="EK25" s="13">
        <f t="shared" si="38"/>
        <v>943</v>
      </c>
      <c r="EL25" s="14">
        <f t="shared" si="15"/>
        <v>10115</v>
      </c>
    </row>
    <row r="26" spans="1:142" x14ac:dyDescent="0.2">
      <c r="A26" s="12">
        <v>40</v>
      </c>
      <c r="B26" s="13">
        <v>256</v>
      </c>
      <c r="C26" s="13">
        <v>269</v>
      </c>
      <c r="D26" s="13">
        <v>150</v>
      </c>
      <c r="E26" s="13">
        <v>197</v>
      </c>
      <c r="F26" s="13">
        <v>170</v>
      </c>
      <c r="G26" s="13">
        <v>191</v>
      </c>
      <c r="H26" s="13">
        <v>207</v>
      </c>
      <c r="I26" s="13">
        <v>233</v>
      </c>
      <c r="J26" s="13">
        <v>184</v>
      </c>
      <c r="K26" s="13">
        <v>249</v>
      </c>
      <c r="L26" s="13">
        <v>275</v>
      </c>
      <c r="M26" s="13">
        <v>347</v>
      </c>
      <c r="N26" s="13">
        <v>365</v>
      </c>
      <c r="O26" s="13">
        <v>296</v>
      </c>
      <c r="P26" s="13">
        <v>279</v>
      </c>
      <c r="Q26" s="13">
        <v>316</v>
      </c>
      <c r="R26" s="13">
        <v>330</v>
      </c>
      <c r="S26" s="13">
        <v>326</v>
      </c>
      <c r="T26" s="13">
        <v>351</v>
      </c>
      <c r="U26" s="13">
        <v>376</v>
      </c>
      <c r="V26" s="13">
        <v>400</v>
      </c>
      <c r="W26" s="13">
        <v>497</v>
      </c>
      <c r="X26" s="13">
        <v>473</v>
      </c>
      <c r="Y26" s="13">
        <v>522</v>
      </c>
      <c r="Z26" s="14">
        <f>AVERAGE(B26:Y26)</f>
        <v>302.45833333333331</v>
      </c>
      <c r="AA26" s="15">
        <f>_xlfn.STDEV.P(B26:Y26)</f>
        <v>99.91328705710545</v>
      </c>
      <c r="AB26" s="13">
        <f t="shared" si="4"/>
        <v>219.54166666666669</v>
      </c>
      <c r="AC26" s="19">
        <f t="shared" si="5"/>
        <v>1.7258575561372091</v>
      </c>
      <c r="AD26" s="14">
        <v>883</v>
      </c>
      <c r="AE26" s="17">
        <v>836</v>
      </c>
      <c r="AF26" s="17">
        <v>968</v>
      </c>
      <c r="AG26" s="17">
        <v>968</v>
      </c>
      <c r="AH26" s="17">
        <v>963</v>
      </c>
      <c r="AI26" s="17">
        <v>931</v>
      </c>
      <c r="AJ26" s="17">
        <v>953</v>
      </c>
      <c r="AK26" s="17">
        <v>951</v>
      </c>
      <c r="AL26" s="17">
        <v>878</v>
      </c>
      <c r="AM26" s="17">
        <v>890</v>
      </c>
      <c r="AN26" s="17">
        <v>998</v>
      </c>
      <c r="AO26" s="17">
        <v>1000</v>
      </c>
      <c r="AP26" s="17">
        <v>1251</v>
      </c>
      <c r="AQ26" s="17">
        <v>1273</v>
      </c>
      <c r="AR26" s="17">
        <v>1314</v>
      </c>
      <c r="AS26" s="17">
        <v>1415</v>
      </c>
      <c r="AT26" s="17">
        <v>967</v>
      </c>
      <c r="AU26" s="17">
        <v>1251</v>
      </c>
      <c r="AV26" s="17">
        <v>1152</v>
      </c>
      <c r="AW26" s="17">
        <v>930</v>
      </c>
      <c r="AX26" s="17">
        <v>1072</v>
      </c>
      <c r="AY26" s="17">
        <v>1054</v>
      </c>
      <c r="AZ26" s="17">
        <v>973</v>
      </c>
      <c r="BA26" s="40">
        <v>1026</v>
      </c>
      <c r="BB26" s="17">
        <f>AVERAGE(AD26:BA26)</f>
        <v>1037.375</v>
      </c>
      <c r="BC26" s="41">
        <f>_xlfn.STDEV.P(AD26:BB26)</f>
        <v>149.23613838477596</v>
      </c>
      <c r="BD26" s="17">
        <f>BA26-BB26</f>
        <v>-11.375</v>
      </c>
      <c r="BE26" s="42">
        <f>BA26/BB26</f>
        <v>0.98903482347270755</v>
      </c>
      <c r="BF26" s="13">
        <v>12</v>
      </c>
      <c r="BG26" s="13">
        <v>37</v>
      </c>
      <c r="BH26" s="13">
        <v>11</v>
      </c>
      <c r="BI26" s="13">
        <v>28</v>
      </c>
      <c r="BJ26" s="13">
        <v>25</v>
      </c>
      <c r="BK26" s="13">
        <v>4</v>
      </c>
      <c r="BL26" s="13">
        <v>28</v>
      </c>
      <c r="BM26" s="13">
        <v>30</v>
      </c>
      <c r="BN26" s="13">
        <v>9</v>
      </c>
      <c r="BO26" s="13">
        <v>7</v>
      </c>
      <c r="BP26" s="13">
        <v>8</v>
      </c>
      <c r="BQ26" s="13">
        <v>3</v>
      </c>
      <c r="BR26" s="13">
        <v>6</v>
      </c>
      <c r="BS26" s="13">
        <v>13</v>
      </c>
      <c r="BT26" s="13">
        <v>21</v>
      </c>
      <c r="BU26" s="13">
        <v>24</v>
      </c>
      <c r="BV26" s="13">
        <v>9</v>
      </c>
      <c r="BW26" s="13">
        <v>9</v>
      </c>
      <c r="BX26" s="13">
        <v>56</v>
      </c>
      <c r="BY26" s="13">
        <v>53</v>
      </c>
      <c r="BZ26" s="13">
        <v>75</v>
      </c>
      <c r="CA26" s="13">
        <v>37</v>
      </c>
      <c r="CB26" s="13">
        <v>93</v>
      </c>
      <c r="CC26" s="13">
        <v>19</v>
      </c>
      <c r="CD26" s="13">
        <v>3</v>
      </c>
      <c r="CE26" s="14">
        <f>AVERAGE(BF26:CD26)</f>
        <v>24.8</v>
      </c>
      <c r="CF26" s="41">
        <f>_xlfn.STDEV.P(BF26:CD26)</f>
        <v>22.726196338146867</v>
      </c>
      <c r="CG26" s="17">
        <f>MAX(BF26:CD26)</f>
        <v>93</v>
      </c>
      <c r="CH26" s="17">
        <f>AVERAGE(CB26:CD26)</f>
        <v>38.333333333333336</v>
      </c>
      <c r="CI26" s="41">
        <f>_xlfn.STDEV.P(CB26:CD26)</f>
        <v>39.203174474637748</v>
      </c>
      <c r="CJ26" s="41">
        <f>MAX(BY26:CD26)</f>
        <v>93</v>
      </c>
      <c r="CL26" s="23">
        <f t="shared" si="6"/>
        <v>0.78927203065134099</v>
      </c>
      <c r="CM26" s="14">
        <f t="shared" si="7"/>
        <v>429</v>
      </c>
      <c r="CN26" s="43">
        <f>100*IF(CM26&gt;0,CM26,0)</f>
        <v>42900</v>
      </c>
      <c r="CO26" s="13">
        <f t="shared" si="8"/>
        <v>429</v>
      </c>
      <c r="CP26" s="43">
        <f>100*IF(CO26&gt;0,CO26,0)</f>
        <v>42900</v>
      </c>
      <c r="CQ26" s="13">
        <f>CE26+2*CF26</f>
        <v>70.252392676293738</v>
      </c>
      <c r="CR26" s="44">
        <f t="shared" si="9"/>
        <v>451.74760732370623</v>
      </c>
      <c r="CS26" s="43">
        <f>100*IF(CR26&gt;0,CR26,0)</f>
        <v>45174.760732370625</v>
      </c>
      <c r="CU26" s="23">
        <f>SUM(BS26:CD26)/(0.8*BA26)</f>
        <v>0.50194931773879137</v>
      </c>
      <c r="CV26" s="14">
        <f>(0.65*AVERAGE(AD26:BA26))-CG26</f>
        <v>581.29375000000005</v>
      </c>
      <c r="CW26" s="43">
        <f>20*IF(CV26&gt;0,CV26,0)</f>
        <v>11625.875</v>
      </c>
      <c r="CX26" s="13">
        <f>0.8*BA26-CJ26</f>
        <v>727.80000000000007</v>
      </c>
      <c r="CY26" s="43">
        <f>20*IF(CX26&gt;0,CX26,0)</f>
        <v>14556.000000000002</v>
      </c>
      <c r="CZ26" s="13">
        <f>CE26+2*CF26</f>
        <v>70.252392676293738</v>
      </c>
      <c r="DA26" s="44">
        <f>0.8*BA26-CQ26</f>
        <v>750.5476073237063</v>
      </c>
      <c r="DB26" s="43">
        <f>20*IF(DA26&gt;0,DA26,0)</f>
        <v>15010.952146474126</v>
      </c>
      <c r="DD26" s="23">
        <f t="shared" si="10"/>
        <v>0.28539761706844002</v>
      </c>
      <c r="DE26" s="57">
        <f t="shared" si="16"/>
        <v>72720</v>
      </c>
      <c r="DF26" s="14">
        <f t="shared" si="11"/>
        <v>1350.6</v>
      </c>
      <c r="DG26" s="43">
        <f>20*IF(DF26&gt;0,DF26,0)</f>
        <v>27012</v>
      </c>
      <c r="DH26" s="13">
        <f t="shared" si="12"/>
        <v>1350.6</v>
      </c>
      <c r="DI26" s="43">
        <f>20*IF(DH26&gt;0,DH26,0)</f>
        <v>27012</v>
      </c>
      <c r="DJ26" s="13">
        <f>CH28+2*CI28</f>
        <v>178.22096302365105</v>
      </c>
      <c r="DK26" s="44">
        <f t="shared" si="13"/>
        <v>1265.3790369763487</v>
      </c>
      <c r="DL26" s="43">
        <f>20*IF(DK26&gt;0,DK26,0)</f>
        <v>25307.580739526973</v>
      </c>
      <c r="DN26" s="13">
        <v>0</v>
      </c>
      <c r="DO26" s="13">
        <f>(C26-B26)+(AE26-AD26)+BG26</f>
        <v>3</v>
      </c>
      <c r="DP26" s="13">
        <f t="shared" si="17"/>
        <v>24</v>
      </c>
      <c r="DQ26" s="13">
        <f t="shared" si="18"/>
        <v>75</v>
      </c>
      <c r="DR26" s="13">
        <f t="shared" si="19"/>
        <v>-7</v>
      </c>
      <c r="DS26" s="13">
        <f t="shared" si="20"/>
        <v>-7</v>
      </c>
      <c r="DT26" s="13">
        <f t="shared" si="21"/>
        <v>66</v>
      </c>
      <c r="DU26" s="13">
        <f t="shared" si="22"/>
        <v>54</v>
      </c>
      <c r="DV26" s="13">
        <f t="shared" si="23"/>
        <v>-113</v>
      </c>
      <c r="DW26" s="13">
        <f t="shared" si="24"/>
        <v>84</v>
      </c>
      <c r="DX26" s="13">
        <f t="shared" si="25"/>
        <v>142</v>
      </c>
      <c r="DY26" s="13">
        <f t="shared" si="26"/>
        <v>77</v>
      </c>
      <c r="DZ26" s="13">
        <f t="shared" si="27"/>
        <v>275</v>
      </c>
      <c r="EA26" s="13">
        <f t="shared" si="28"/>
        <v>-34</v>
      </c>
      <c r="EB26" s="13">
        <f t="shared" si="29"/>
        <v>45</v>
      </c>
      <c r="EC26" s="13">
        <f t="shared" si="30"/>
        <v>162</v>
      </c>
      <c r="ED26" s="13">
        <f t="shared" si="31"/>
        <v>-425</v>
      </c>
      <c r="EE26" s="13">
        <f t="shared" si="32"/>
        <v>289</v>
      </c>
      <c r="EF26" s="13">
        <f t="shared" si="33"/>
        <v>-18</v>
      </c>
      <c r="EG26" s="13">
        <f t="shared" si="34"/>
        <v>-144</v>
      </c>
      <c r="EH26" s="13">
        <f t="shared" si="35"/>
        <v>241</v>
      </c>
      <c r="EI26" s="13">
        <f t="shared" si="36"/>
        <v>116</v>
      </c>
      <c r="EJ26" s="13">
        <f t="shared" si="37"/>
        <v>-12</v>
      </c>
      <c r="EK26" s="13">
        <f t="shared" si="38"/>
        <v>121</v>
      </c>
      <c r="EL26" s="14">
        <f t="shared" si="15"/>
        <v>1014</v>
      </c>
    </row>
    <row r="27" spans="1:142" x14ac:dyDescent="0.2">
      <c r="A27" s="12">
        <v>41</v>
      </c>
      <c r="B27" s="13">
        <v>88</v>
      </c>
      <c r="C27" s="13">
        <v>107</v>
      </c>
      <c r="D27" s="13">
        <v>85</v>
      </c>
      <c r="E27" s="13">
        <v>72</v>
      </c>
      <c r="F27" s="13">
        <v>61</v>
      </c>
      <c r="G27" s="13">
        <v>42</v>
      </c>
      <c r="H27" s="13">
        <v>85</v>
      </c>
      <c r="I27" s="13">
        <v>81</v>
      </c>
      <c r="J27" s="13">
        <v>54</v>
      </c>
      <c r="K27" s="13">
        <v>46</v>
      </c>
      <c r="L27" s="13">
        <v>43</v>
      </c>
      <c r="M27" s="13">
        <v>46</v>
      </c>
      <c r="N27" s="13">
        <v>51</v>
      </c>
      <c r="O27" s="13">
        <v>45</v>
      </c>
      <c r="P27" s="13">
        <v>34</v>
      </c>
      <c r="Q27" s="13">
        <v>41</v>
      </c>
      <c r="R27" s="13">
        <v>76</v>
      </c>
      <c r="S27" s="13">
        <v>118</v>
      </c>
      <c r="T27" s="13">
        <v>65</v>
      </c>
      <c r="U27" s="13">
        <v>99</v>
      </c>
      <c r="V27" s="13">
        <v>177</v>
      </c>
      <c r="W27" s="13">
        <v>232</v>
      </c>
      <c r="X27" s="13">
        <v>271</v>
      </c>
      <c r="Y27" s="13">
        <v>224</v>
      </c>
      <c r="Z27" s="14">
        <f>AVERAGE(B27:Y27)</f>
        <v>93.458333333333329</v>
      </c>
      <c r="AA27" s="15">
        <f>_xlfn.STDEV.P(B27:Y27)</f>
        <v>64.614871331777977</v>
      </c>
      <c r="AB27" s="13">
        <f t="shared" si="4"/>
        <v>130.54166666666669</v>
      </c>
      <c r="AC27" s="19">
        <f t="shared" si="5"/>
        <v>2.3967900133749445</v>
      </c>
      <c r="AD27" s="14">
        <v>379</v>
      </c>
      <c r="AE27" s="17">
        <v>359</v>
      </c>
      <c r="AF27" s="17">
        <v>363</v>
      </c>
      <c r="AG27" s="17">
        <v>303</v>
      </c>
      <c r="AH27" s="17">
        <v>346</v>
      </c>
      <c r="AI27" s="17">
        <v>316</v>
      </c>
      <c r="AJ27" s="17">
        <v>330</v>
      </c>
      <c r="AK27" s="17">
        <v>331</v>
      </c>
      <c r="AL27" s="17">
        <v>334</v>
      </c>
      <c r="AM27" s="17">
        <v>337</v>
      </c>
      <c r="AN27" s="17">
        <v>357</v>
      </c>
      <c r="AO27" s="17">
        <v>365</v>
      </c>
      <c r="AP27" s="17">
        <v>360</v>
      </c>
      <c r="AQ27" s="17">
        <v>383</v>
      </c>
      <c r="AR27" s="17">
        <v>320</v>
      </c>
      <c r="AS27" s="17">
        <v>507</v>
      </c>
      <c r="AT27" s="17">
        <v>366</v>
      </c>
      <c r="AU27" s="17">
        <v>379</v>
      </c>
      <c r="AV27" s="17">
        <v>252</v>
      </c>
      <c r="AW27" s="17">
        <v>279</v>
      </c>
      <c r="AX27" s="17">
        <v>643</v>
      </c>
      <c r="AY27" s="17">
        <v>1478</v>
      </c>
      <c r="AZ27" s="17">
        <v>1488</v>
      </c>
      <c r="BA27" s="40">
        <v>1500</v>
      </c>
      <c r="BB27" s="17">
        <f>AVERAGE(AD27:BA27)</f>
        <v>503.125</v>
      </c>
      <c r="BC27" s="41">
        <f>_xlfn.STDEV.P(AD27:BB27)</f>
        <v>372.09969766179603</v>
      </c>
      <c r="BD27" s="17">
        <f>BA27-BB27</f>
        <v>996.875</v>
      </c>
      <c r="BE27" s="42">
        <f>BA27/BB27</f>
        <v>2.981366459627329</v>
      </c>
      <c r="BF27" s="13">
        <v>5</v>
      </c>
      <c r="BG27" s="13">
        <v>3</v>
      </c>
      <c r="BH27" s="13">
        <v>14</v>
      </c>
      <c r="BI27" s="13">
        <v>6</v>
      </c>
      <c r="BJ27" s="13">
        <v>30</v>
      </c>
      <c r="BK27" s="13">
        <v>2</v>
      </c>
      <c r="BL27" s="13">
        <v>20</v>
      </c>
      <c r="BM27" s="13">
        <v>12</v>
      </c>
      <c r="BN27" s="13">
        <v>72</v>
      </c>
      <c r="BO27" s="13">
        <v>22</v>
      </c>
      <c r="BP27" s="13">
        <v>5</v>
      </c>
      <c r="BQ27" s="13">
        <v>4</v>
      </c>
      <c r="BR27" s="13">
        <v>12</v>
      </c>
      <c r="BS27" s="13">
        <v>27</v>
      </c>
      <c r="BT27" s="13">
        <v>49</v>
      </c>
      <c r="BU27" s="13">
        <v>44</v>
      </c>
      <c r="BV27" s="13">
        <v>0</v>
      </c>
      <c r="BW27" s="13">
        <v>5</v>
      </c>
      <c r="BX27" s="13">
        <v>71</v>
      </c>
      <c r="BY27" s="13">
        <v>87</v>
      </c>
      <c r="BZ27" s="13">
        <v>31</v>
      </c>
      <c r="CA27" s="13">
        <v>39</v>
      </c>
      <c r="CB27" s="13">
        <v>10</v>
      </c>
      <c r="CC27" s="13">
        <v>65</v>
      </c>
      <c r="CD27" s="13">
        <v>11</v>
      </c>
      <c r="CE27" s="14">
        <f>AVERAGE(BF27:CD27)</f>
        <v>25.84</v>
      </c>
      <c r="CF27" s="41">
        <f>_xlfn.STDEV.P(BF27:CD27)</f>
        <v>24.902497866679962</v>
      </c>
      <c r="CG27" s="17">
        <f>MAX(BF27:CD27)</f>
        <v>87</v>
      </c>
      <c r="CH27" s="17">
        <f>AVERAGE(CB27:CD27)</f>
        <v>28.666666666666668</v>
      </c>
      <c r="CI27" s="41">
        <f>_xlfn.STDEV.P(CB27:CD27)</f>
        <v>25.69478978746902</v>
      </c>
      <c r="CJ27" s="41">
        <f>MAX(BY27:CD27)</f>
        <v>87</v>
      </c>
      <c r="CL27" s="23">
        <f t="shared" si="6"/>
        <v>1.9598214285714286</v>
      </c>
      <c r="CM27" s="14">
        <f t="shared" si="7"/>
        <v>137</v>
      </c>
      <c r="CN27" s="43">
        <f>100*IF(CM27&gt;0,CM27,0)</f>
        <v>13700</v>
      </c>
      <c r="CO27" s="13">
        <f t="shared" si="8"/>
        <v>137</v>
      </c>
      <c r="CP27" s="43">
        <f>100*IF(CO27&gt;0,CO27,0)</f>
        <v>13700</v>
      </c>
      <c r="CQ27" s="13">
        <f>CE27+2*CF27</f>
        <v>75.64499573335992</v>
      </c>
      <c r="CR27" s="44">
        <f t="shared" si="9"/>
        <v>148.35500426664009</v>
      </c>
      <c r="CS27" s="43">
        <f>100*IF(CR27&gt;0,CR27,0)</f>
        <v>14835.50042666401</v>
      </c>
      <c r="CU27" s="23">
        <f>SUM(BS27:CD27)/(0.8*BA27)</f>
        <v>0.36583333333333334</v>
      </c>
      <c r="CV27" s="14">
        <f>(0.65*AVERAGE(AD27:BA27))-CG27</f>
        <v>240.03125</v>
      </c>
      <c r="CW27" s="43">
        <f>20*IF(CV27&gt;0,CV27,0)</f>
        <v>4800.625</v>
      </c>
      <c r="CX27" s="13">
        <f>0.8*BA27-CJ27</f>
        <v>1113</v>
      </c>
      <c r="CY27" s="43">
        <f>20*IF(CX27&gt;0,CX27,0)</f>
        <v>22260</v>
      </c>
      <c r="CZ27" s="13">
        <f>CE27+2*CF27</f>
        <v>75.64499573335992</v>
      </c>
      <c r="DA27" s="44">
        <f>0.8*BA27-CQ27</f>
        <v>1124.35500426664</v>
      </c>
      <c r="DB27" s="43">
        <f>20*IF(DA27&gt;0,DA27,0)</f>
        <v>22487.100085332801</v>
      </c>
      <c r="DD27" s="23">
        <f t="shared" si="10"/>
        <v>0.26143401619818962</v>
      </c>
      <c r="DE27" s="57">
        <f t="shared" si="16"/>
        <v>52400</v>
      </c>
      <c r="DF27" s="14">
        <f t="shared" si="11"/>
        <v>1592.2</v>
      </c>
      <c r="DG27" s="43">
        <f>20*IF(DF27&gt;0,DF27,0)</f>
        <v>31844</v>
      </c>
      <c r="DH27" s="13">
        <f t="shared" si="12"/>
        <v>1592.2</v>
      </c>
      <c r="DI27" s="43">
        <f>20*IF(DH27&gt;0,DH27,0)</f>
        <v>31844</v>
      </c>
      <c r="DJ27" s="13">
        <f>CH29+2*CI29</f>
        <v>71.401388863772453</v>
      </c>
      <c r="DK27" s="44">
        <f t="shared" si="13"/>
        <v>1607.7986111362277</v>
      </c>
      <c r="DL27" s="43">
        <f>20*IF(DK27&gt;0,DK27,0)</f>
        <v>32155.972222724555</v>
      </c>
      <c r="DN27" s="13">
        <v>0</v>
      </c>
      <c r="DO27" s="13">
        <f>(C27-B27)+(AE27-AD27)+BG27</f>
        <v>2</v>
      </c>
      <c r="DP27" s="13">
        <f t="shared" si="17"/>
        <v>-4</v>
      </c>
      <c r="DQ27" s="13">
        <f t="shared" si="18"/>
        <v>-67</v>
      </c>
      <c r="DR27" s="13">
        <f t="shared" si="19"/>
        <v>62</v>
      </c>
      <c r="DS27" s="13">
        <f t="shared" si="20"/>
        <v>-47</v>
      </c>
      <c r="DT27" s="13">
        <f t="shared" si="21"/>
        <v>77</v>
      </c>
      <c r="DU27" s="13">
        <f t="shared" si="22"/>
        <v>9</v>
      </c>
      <c r="DV27" s="13">
        <f t="shared" si="23"/>
        <v>48</v>
      </c>
      <c r="DW27" s="13">
        <f t="shared" si="24"/>
        <v>17</v>
      </c>
      <c r="DX27" s="13">
        <f t="shared" si="25"/>
        <v>22</v>
      </c>
      <c r="DY27" s="13">
        <f t="shared" si="26"/>
        <v>15</v>
      </c>
      <c r="DZ27" s="13">
        <f t="shared" si="27"/>
        <v>12</v>
      </c>
      <c r="EA27" s="13">
        <f t="shared" si="28"/>
        <v>44</v>
      </c>
      <c r="EB27" s="13">
        <f t="shared" si="29"/>
        <v>-25</v>
      </c>
      <c r="EC27" s="13">
        <f t="shared" si="30"/>
        <v>238</v>
      </c>
      <c r="ED27" s="13">
        <f t="shared" si="31"/>
        <v>-106</v>
      </c>
      <c r="EE27" s="13">
        <f t="shared" si="32"/>
        <v>60</v>
      </c>
      <c r="EF27" s="13">
        <f t="shared" si="33"/>
        <v>-109</v>
      </c>
      <c r="EG27" s="13">
        <f t="shared" si="34"/>
        <v>148</v>
      </c>
      <c r="EH27" s="13">
        <f t="shared" si="35"/>
        <v>473</v>
      </c>
      <c r="EI27" s="13">
        <f t="shared" si="36"/>
        <v>929</v>
      </c>
      <c r="EJ27" s="13">
        <f t="shared" si="37"/>
        <v>59</v>
      </c>
      <c r="EK27" s="13">
        <f t="shared" si="38"/>
        <v>30</v>
      </c>
      <c r="EL27" s="14">
        <f t="shared" si="15"/>
        <v>1887</v>
      </c>
    </row>
    <row r="28" spans="1:142" x14ac:dyDescent="0.2">
      <c r="A28" s="12">
        <v>42</v>
      </c>
      <c r="B28" s="13">
        <v>127</v>
      </c>
      <c r="C28" s="13">
        <v>123</v>
      </c>
      <c r="D28" s="13">
        <v>93</v>
      </c>
      <c r="E28" s="13">
        <v>202</v>
      </c>
      <c r="F28" s="13">
        <v>198</v>
      </c>
      <c r="G28" s="13">
        <v>138</v>
      </c>
      <c r="H28" s="13">
        <v>133</v>
      </c>
      <c r="I28" s="13">
        <v>199</v>
      </c>
      <c r="J28" s="13">
        <v>166</v>
      </c>
      <c r="K28" s="13">
        <v>130</v>
      </c>
      <c r="L28" s="13">
        <v>126</v>
      </c>
      <c r="M28" s="13">
        <v>138</v>
      </c>
      <c r="N28" s="13">
        <v>126</v>
      </c>
      <c r="O28" s="13">
        <v>127</v>
      </c>
      <c r="P28" s="13">
        <v>110</v>
      </c>
      <c r="Q28" s="13">
        <v>124</v>
      </c>
      <c r="R28" s="13">
        <v>335</v>
      </c>
      <c r="S28" s="13">
        <v>200</v>
      </c>
      <c r="T28" s="13">
        <v>130</v>
      </c>
      <c r="U28" s="13">
        <v>228</v>
      </c>
      <c r="V28" s="13">
        <v>344</v>
      </c>
      <c r="W28" s="13">
        <v>205</v>
      </c>
      <c r="X28" s="13">
        <v>392</v>
      </c>
      <c r="Y28" s="13">
        <v>445</v>
      </c>
      <c r="Z28" s="14">
        <f>AVERAGE(B28:Y28)</f>
        <v>189.125</v>
      </c>
      <c r="AA28" s="15">
        <f>_xlfn.STDEV.P(B28:Y28)</f>
        <v>93.502813014725206</v>
      </c>
      <c r="AB28" s="13">
        <f t="shared" si="4"/>
        <v>255.875</v>
      </c>
      <c r="AC28" s="19">
        <f t="shared" si="5"/>
        <v>2.3529411764705883</v>
      </c>
      <c r="AD28" s="14">
        <v>124</v>
      </c>
      <c r="AE28" s="17">
        <v>198</v>
      </c>
      <c r="AF28" s="17">
        <v>218</v>
      </c>
      <c r="AG28" s="17">
        <v>462</v>
      </c>
      <c r="AH28" s="17">
        <v>365</v>
      </c>
      <c r="AI28" s="17">
        <v>369</v>
      </c>
      <c r="AJ28" s="17">
        <v>334</v>
      </c>
      <c r="AK28" s="17">
        <v>94</v>
      </c>
      <c r="AL28" s="17">
        <v>169</v>
      </c>
      <c r="AM28" s="17">
        <v>169</v>
      </c>
      <c r="AN28" s="17">
        <v>169</v>
      </c>
      <c r="AO28" s="17">
        <v>181</v>
      </c>
      <c r="AP28" s="17">
        <v>299</v>
      </c>
      <c r="AQ28" s="17">
        <v>323</v>
      </c>
      <c r="AR28" s="17">
        <v>688</v>
      </c>
      <c r="AS28" s="17">
        <v>632</v>
      </c>
      <c r="AT28" s="17">
        <v>568</v>
      </c>
      <c r="AU28" s="17">
        <v>587</v>
      </c>
      <c r="AV28" s="17">
        <v>525</v>
      </c>
      <c r="AW28" s="17">
        <v>631</v>
      </c>
      <c r="AX28" s="17">
        <v>632</v>
      </c>
      <c r="AY28" s="17">
        <v>840</v>
      </c>
      <c r="AZ28" s="17">
        <v>737</v>
      </c>
      <c r="BA28" s="40">
        <v>702</v>
      </c>
      <c r="BB28" s="17">
        <f>AVERAGE(AD28:BA28)</f>
        <v>417.33333333333331</v>
      </c>
      <c r="BC28" s="41">
        <f>_xlfn.STDEV.P(AD28:BB28)</f>
        <v>218.37887565726973</v>
      </c>
      <c r="BD28" s="17">
        <f>BA28-BB28</f>
        <v>284.66666666666669</v>
      </c>
      <c r="BE28" s="42">
        <f>BA28/BB28</f>
        <v>1.6821086261980831</v>
      </c>
      <c r="BF28" s="13">
        <v>22</v>
      </c>
      <c r="BG28" s="13">
        <v>6</v>
      </c>
      <c r="BH28" s="13">
        <v>3</v>
      </c>
      <c r="BI28" s="13">
        <v>39</v>
      </c>
      <c r="BJ28" s="13">
        <v>62</v>
      </c>
      <c r="BK28" s="13">
        <v>50</v>
      </c>
      <c r="BL28" s="13">
        <v>46</v>
      </c>
      <c r="BM28" s="13">
        <v>62</v>
      </c>
      <c r="BN28" s="13">
        <v>169</v>
      </c>
      <c r="BO28" s="13">
        <v>51</v>
      </c>
      <c r="BP28" s="13">
        <v>4</v>
      </c>
      <c r="BQ28" s="13">
        <v>22</v>
      </c>
      <c r="BR28" s="13">
        <v>43</v>
      </c>
      <c r="BS28" s="13">
        <v>18</v>
      </c>
      <c r="BT28" s="13">
        <v>21</v>
      </c>
      <c r="BU28" s="13">
        <v>203</v>
      </c>
      <c r="BV28" s="13">
        <v>227</v>
      </c>
      <c r="BW28" s="13">
        <v>228</v>
      </c>
      <c r="BX28" s="13">
        <v>45</v>
      </c>
      <c r="BY28" s="13">
        <v>82</v>
      </c>
      <c r="BZ28" s="13">
        <v>214</v>
      </c>
      <c r="CA28" s="13">
        <v>255</v>
      </c>
      <c r="CB28" s="13">
        <v>19</v>
      </c>
      <c r="CC28" s="13">
        <v>142</v>
      </c>
      <c r="CD28" s="13">
        <v>6</v>
      </c>
      <c r="CE28" s="14">
        <f>AVERAGE(BF28:CD28)</f>
        <v>81.56</v>
      </c>
      <c r="CF28" s="41">
        <f>_xlfn.STDEV.P(BF28:CD28)</f>
        <v>81.775830170044742</v>
      </c>
      <c r="CG28" s="17">
        <f>MAX(BF28:CD28)</f>
        <v>255</v>
      </c>
      <c r="CH28" s="17">
        <f>AVERAGE(CB28:CD28)</f>
        <v>55.666666666666664</v>
      </c>
      <c r="CI28" s="41">
        <f>_xlfn.STDEV.P(CB28:CD28)</f>
        <v>61.27714817849219</v>
      </c>
      <c r="CJ28" s="41">
        <f>MAX(BY28:CD28)</f>
        <v>255</v>
      </c>
      <c r="CL28" s="23">
        <f t="shared" si="6"/>
        <v>3.2808988764044944</v>
      </c>
      <c r="CM28" s="14">
        <f t="shared" si="7"/>
        <v>190</v>
      </c>
      <c r="CN28" s="43">
        <f>100*IF(CM28&gt;0,CM28,0)</f>
        <v>19000</v>
      </c>
      <c r="CO28" s="13">
        <f t="shared" si="8"/>
        <v>190</v>
      </c>
      <c r="CP28" s="43">
        <f>100*IF(CO28&gt;0,CO28,0)</f>
        <v>19000</v>
      </c>
      <c r="CQ28" s="13">
        <f>CE28+2*CF28</f>
        <v>245.11166034008949</v>
      </c>
      <c r="CR28" s="44">
        <f t="shared" si="9"/>
        <v>199.88833965991051</v>
      </c>
      <c r="CS28" s="43">
        <f>100*IF(CR28&gt;0,CR28,0)</f>
        <v>19988.833965991053</v>
      </c>
      <c r="CU28" s="23">
        <f>SUM(BS28:CD28)/(0.8*BA28)</f>
        <v>2.5997150997150995</v>
      </c>
      <c r="CV28" s="14">
        <f>(0.65*AVERAGE(AD28:BA28))-CG28</f>
        <v>16.266666666666652</v>
      </c>
      <c r="CW28" s="43">
        <f>20*IF(CV28&gt;0,CV28,0)</f>
        <v>325.33333333333303</v>
      </c>
      <c r="CX28" s="13">
        <f>0.8*BA28-CJ28</f>
        <v>306.60000000000002</v>
      </c>
      <c r="CY28" s="43">
        <f>20*IF(CX28&gt;0,CX28,0)</f>
        <v>6132</v>
      </c>
      <c r="CZ28" s="13">
        <f>CE28+2*CF28</f>
        <v>245.11166034008949</v>
      </c>
      <c r="DA28" s="44">
        <f>0.8*BA28-CQ28</f>
        <v>316.48833965991054</v>
      </c>
      <c r="DB28" s="43">
        <f>20*IF(DA28&gt;0,DA28,0)</f>
        <v>6329.7667931982105</v>
      </c>
      <c r="DD28" s="23">
        <f t="shared" si="10"/>
        <v>1.3799621928166352</v>
      </c>
      <c r="DE28" s="57">
        <f t="shared" si="16"/>
        <v>58540</v>
      </c>
      <c r="DF28" s="14">
        <f t="shared" si="11"/>
        <v>803</v>
      </c>
      <c r="DG28" s="43">
        <f>20*IF(DF28&gt;0,DF28,0)</f>
        <v>16060</v>
      </c>
      <c r="DH28" s="13">
        <f t="shared" si="12"/>
        <v>803</v>
      </c>
      <c r="DI28" s="43">
        <f>20*IF(DH28&gt;0,DH28,0)</f>
        <v>16060</v>
      </c>
      <c r="DJ28" s="13">
        <f>CH30+2*CI30</f>
        <v>461.22851876365007</v>
      </c>
      <c r="DK28" s="44">
        <f t="shared" si="13"/>
        <v>596.77148123634993</v>
      </c>
      <c r="DL28" s="43">
        <f>20*IF(DK28&gt;0,DK28,0)</f>
        <v>11935.429624726999</v>
      </c>
      <c r="DN28" s="13">
        <v>0</v>
      </c>
      <c r="DO28" s="13">
        <f>(C28-B28)+(AE28-AD28)+BG28</f>
        <v>76</v>
      </c>
      <c r="DP28" s="13">
        <f t="shared" si="17"/>
        <v>-7</v>
      </c>
      <c r="DQ28" s="13">
        <f t="shared" si="18"/>
        <v>392</v>
      </c>
      <c r="DR28" s="13">
        <f t="shared" si="19"/>
        <v>-39</v>
      </c>
      <c r="DS28" s="13">
        <f t="shared" si="20"/>
        <v>-6</v>
      </c>
      <c r="DT28" s="13">
        <f t="shared" si="21"/>
        <v>6</v>
      </c>
      <c r="DU28" s="13">
        <f t="shared" si="22"/>
        <v>-112</v>
      </c>
      <c r="DV28" s="13">
        <f t="shared" si="23"/>
        <v>211</v>
      </c>
      <c r="DW28" s="13">
        <f t="shared" si="24"/>
        <v>15</v>
      </c>
      <c r="DX28" s="13">
        <f t="shared" si="25"/>
        <v>0</v>
      </c>
      <c r="DY28" s="13">
        <f t="shared" si="26"/>
        <v>46</v>
      </c>
      <c r="DZ28" s="13">
        <f t="shared" si="27"/>
        <v>149</v>
      </c>
      <c r="EA28" s="13">
        <f t="shared" si="28"/>
        <v>43</v>
      </c>
      <c r="EB28" s="13">
        <f t="shared" si="29"/>
        <v>369</v>
      </c>
      <c r="EC28" s="13">
        <f t="shared" si="30"/>
        <v>161</v>
      </c>
      <c r="ED28" s="13">
        <f t="shared" si="31"/>
        <v>374</v>
      </c>
      <c r="EE28" s="13">
        <f t="shared" si="32"/>
        <v>112</v>
      </c>
      <c r="EF28" s="13">
        <f t="shared" si="33"/>
        <v>-87</v>
      </c>
      <c r="EG28" s="13">
        <f t="shared" si="34"/>
        <v>286</v>
      </c>
      <c r="EH28" s="13">
        <f t="shared" si="35"/>
        <v>331</v>
      </c>
      <c r="EI28" s="13">
        <f t="shared" si="36"/>
        <v>324</v>
      </c>
      <c r="EJ28" s="13">
        <f t="shared" si="37"/>
        <v>103</v>
      </c>
      <c r="EK28" s="13">
        <f t="shared" si="38"/>
        <v>160</v>
      </c>
      <c r="EL28" s="14">
        <f t="shared" si="15"/>
        <v>2907</v>
      </c>
    </row>
    <row r="29" spans="1:142" x14ac:dyDescent="0.2">
      <c r="A29" s="12">
        <v>43</v>
      </c>
      <c r="B29" s="13">
        <v>194</v>
      </c>
      <c r="C29" s="13">
        <v>185</v>
      </c>
      <c r="D29" s="13">
        <v>166</v>
      </c>
      <c r="E29" s="13">
        <v>193</v>
      </c>
      <c r="F29" s="13">
        <v>172</v>
      </c>
      <c r="G29" s="13">
        <v>168</v>
      </c>
      <c r="H29" s="13">
        <v>135</v>
      </c>
      <c r="I29" s="13">
        <v>143</v>
      </c>
      <c r="J29" s="13">
        <v>210</v>
      </c>
      <c r="K29" s="13">
        <v>169</v>
      </c>
      <c r="L29" s="13">
        <v>170</v>
      </c>
      <c r="M29" s="13">
        <v>119</v>
      </c>
      <c r="N29" s="13">
        <v>127</v>
      </c>
      <c r="O29" s="13">
        <v>81</v>
      </c>
      <c r="P29" s="13">
        <v>79</v>
      </c>
      <c r="Q29" s="13">
        <v>112</v>
      </c>
      <c r="R29" s="13">
        <v>156</v>
      </c>
      <c r="S29" s="13">
        <v>184</v>
      </c>
      <c r="T29" s="13">
        <v>148</v>
      </c>
      <c r="U29" s="13">
        <v>171</v>
      </c>
      <c r="V29" s="13">
        <v>236</v>
      </c>
      <c r="W29" s="13">
        <v>243</v>
      </c>
      <c r="X29" s="13">
        <v>247</v>
      </c>
      <c r="Y29" s="13">
        <v>242</v>
      </c>
      <c r="Z29" s="14">
        <f>AVERAGE(B29:Y29)</f>
        <v>168.75</v>
      </c>
      <c r="AA29" s="15">
        <f>_xlfn.STDEV.P(B29:Y29)</f>
        <v>45.899573345874728</v>
      </c>
      <c r="AB29" s="13">
        <f t="shared" si="4"/>
        <v>73.25</v>
      </c>
      <c r="AC29" s="19">
        <f t="shared" si="5"/>
        <v>1.4340740740740741</v>
      </c>
      <c r="AD29" s="14">
        <v>467</v>
      </c>
      <c r="AE29" s="17">
        <v>459</v>
      </c>
      <c r="AF29" s="17">
        <v>477</v>
      </c>
      <c r="AG29" s="17">
        <v>691</v>
      </c>
      <c r="AH29" s="17">
        <v>665</v>
      </c>
      <c r="AI29" s="17">
        <v>557</v>
      </c>
      <c r="AJ29" s="17">
        <v>699</v>
      </c>
      <c r="AK29" s="17">
        <v>663</v>
      </c>
      <c r="AL29" s="17">
        <v>598</v>
      </c>
      <c r="AM29" s="17">
        <v>598</v>
      </c>
      <c r="AN29" s="17">
        <v>598</v>
      </c>
      <c r="AO29" s="17">
        <v>622</v>
      </c>
      <c r="AP29" s="17">
        <v>1130</v>
      </c>
      <c r="AQ29" s="17">
        <v>1218</v>
      </c>
      <c r="AR29" s="17">
        <v>1655</v>
      </c>
      <c r="AS29" s="17">
        <v>1865</v>
      </c>
      <c r="AT29" s="17">
        <v>1890</v>
      </c>
      <c r="AU29" s="17">
        <v>1860</v>
      </c>
      <c r="AV29" s="17">
        <v>1812</v>
      </c>
      <c r="AW29" s="17">
        <v>1646</v>
      </c>
      <c r="AX29" s="17">
        <v>2221</v>
      </c>
      <c r="AY29" s="17">
        <v>2234</v>
      </c>
      <c r="AZ29" s="17">
        <v>2226</v>
      </c>
      <c r="BA29" s="40">
        <v>2236</v>
      </c>
      <c r="BB29" s="17">
        <f>AVERAGE(AD29:BA29)</f>
        <v>1211.9583333333333</v>
      </c>
      <c r="BC29" s="41">
        <f>_xlfn.STDEV.P(AD29:BB29)</f>
        <v>660.37234825008659</v>
      </c>
      <c r="BD29" s="17">
        <f>BA29-BB29</f>
        <v>1024.0416666666667</v>
      </c>
      <c r="BE29" s="42">
        <f>BA29/BB29</f>
        <v>1.8449479148760617</v>
      </c>
      <c r="BF29" s="13">
        <v>4</v>
      </c>
      <c r="BG29" s="13">
        <v>37</v>
      </c>
      <c r="BH29" s="13">
        <v>21</v>
      </c>
      <c r="BI29" s="13">
        <v>3</v>
      </c>
      <c r="BJ29" s="13">
        <v>30</v>
      </c>
      <c r="BK29" s="13">
        <v>5</v>
      </c>
      <c r="BL29" s="13">
        <v>64</v>
      </c>
      <c r="BM29" s="13">
        <v>12</v>
      </c>
      <c r="BN29" s="13">
        <v>31</v>
      </c>
      <c r="BO29" s="13">
        <v>33</v>
      </c>
      <c r="BP29" s="13">
        <v>14</v>
      </c>
      <c r="BQ29" s="13">
        <v>8</v>
      </c>
      <c r="BR29" s="13">
        <v>23</v>
      </c>
      <c r="BS29" s="13">
        <v>39</v>
      </c>
      <c r="BT29" s="13">
        <v>35</v>
      </c>
      <c r="BU29" s="13">
        <v>10</v>
      </c>
      <c r="BV29" s="13">
        <v>10</v>
      </c>
      <c r="BW29" s="13">
        <v>0</v>
      </c>
      <c r="BX29" s="13">
        <v>38</v>
      </c>
      <c r="BY29" s="13">
        <v>38</v>
      </c>
      <c r="BZ29" s="13">
        <v>8</v>
      </c>
      <c r="CA29" s="13">
        <v>55</v>
      </c>
      <c r="CB29" s="13">
        <v>56</v>
      </c>
      <c r="CC29" s="13">
        <v>34</v>
      </c>
      <c r="CD29" s="13">
        <v>9</v>
      </c>
      <c r="CE29" s="14">
        <f>AVERAGE(BF29:CD29)</f>
        <v>24.68</v>
      </c>
      <c r="CF29" s="41">
        <f>_xlfn.STDEV.P(BF29:CD29)</f>
        <v>17.784757518729347</v>
      </c>
      <c r="CG29" s="17">
        <f>MAX(BF29:CD29)</f>
        <v>64</v>
      </c>
      <c r="CH29" s="17">
        <f>AVERAGE(CB29:CD29)</f>
        <v>33</v>
      </c>
      <c r="CI29" s="41">
        <f>_xlfn.STDEV.P(CB29:CD29)</f>
        <v>19.200694431886227</v>
      </c>
      <c r="CJ29" s="41">
        <f>MAX(BY29:CD29)</f>
        <v>56</v>
      </c>
      <c r="CL29" s="23">
        <f t="shared" si="6"/>
        <v>1.3719008264462811</v>
      </c>
      <c r="CM29" s="14">
        <f t="shared" si="7"/>
        <v>178</v>
      </c>
      <c r="CN29" s="43">
        <f>100*IF(CM29&gt;0,CM29,0)</f>
        <v>17800</v>
      </c>
      <c r="CO29" s="13">
        <f t="shared" si="8"/>
        <v>186</v>
      </c>
      <c r="CP29" s="43">
        <f>100*IF(CO29&gt;0,CO29,0)</f>
        <v>18600</v>
      </c>
      <c r="CQ29" s="13">
        <f>CE29+2*CF29</f>
        <v>60.249515037458693</v>
      </c>
      <c r="CR29" s="44">
        <f t="shared" si="9"/>
        <v>181.75048496254129</v>
      </c>
      <c r="CS29" s="43">
        <f>100*IF(CR29&gt;0,CR29,0)</f>
        <v>18175.04849625413</v>
      </c>
      <c r="CU29" s="23">
        <f>SUM(BS29:CD29)/(0.8*BA29)</f>
        <v>0.18559928443649373</v>
      </c>
      <c r="CV29" s="14">
        <f>(0.65*AVERAGE(AD29:BA29))-CG29</f>
        <v>723.77291666666667</v>
      </c>
      <c r="CW29" s="43">
        <f>20*IF(CV29&gt;0,CV29,0)</f>
        <v>14475.458333333334</v>
      </c>
      <c r="CX29" s="13">
        <f>0.8*BA29-CJ29</f>
        <v>1732.8000000000002</v>
      </c>
      <c r="CY29" s="43">
        <f>20*IF(CX29&gt;0,CX29,0)</f>
        <v>34656</v>
      </c>
      <c r="CZ29" s="13">
        <f>CE29+2*CF29</f>
        <v>60.249515037458693</v>
      </c>
      <c r="DA29" s="44">
        <f>0.8*BA29-CQ29</f>
        <v>1728.5504849625415</v>
      </c>
      <c r="DB29" s="43">
        <f>20*IF(DA29&gt;0,DA29,0)</f>
        <v>34571.009699250833</v>
      </c>
      <c r="DD29" s="23">
        <f t="shared" si="10"/>
        <v>0.1366480079025354</v>
      </c>
      <c r="DE29" s="57">
        <f t="shared" si="16"/>
        <v>68920</v>
      </c>
      <c r="DF29" s="14">
        <f t="shared" si="11"/>
        <v>2365.6</v>
      </c>
      <c r="DG29" s="43">
        <f>20*IF(DF29&gt;0,DF29,0)</f>
        <v>47312</v>
      </c>
      <c r="DH29" s="13">
        <f t="shared" si="12"/>
        <v>2373.6</v>
      </c>
      <c r="DI29" s="43">
        <f>20*IF(DH29&gt;0,DH29,0)</f>
        <v>47472</v>
      </c>
      <c r="DJ29" s="13">
        <f>CH31+2*CI31</f>
        <v>45.679484471309443</v>
      </c>
      <c r="DK29" s="44">
        <f t="shared" si="13"/>
        <v>2383.9205155286904</v>
      </c>
      <c r="DL29" s="43">
        <f>20*IF(DK29&gt;0,DK29,0)</f>
        <v>47678.41031057381</v>
      </c>
      <c r="DN29" s="13">
        <v>0</v>
      </c>
      <c r="DO29" s="13">
        <f>(C29-B29)+(AE29-AD29)+BG29</f>
        <v>20</v>
      </c>
      <c r="DP29" s="13">
        <f t="shared" si="17"/>
        <v>20</v>
      </c>
      <c r="DQ29" s="13">
        <f t="shared" si="18"/>
        <v>244</v>
      </c>
      <c r="DR29" s="13">
        <f t="shared" si="19"/>
        <v>-17</v>
      </c>
      <c r="DS29" s="13">
        <f t="shared" si="20"/>
        <v>-107</v>
      </c>
      <c r="DT29" s="13">
        <f t="shared" si="21"/>
        <v>173</v>
      </c>
      <c r="DU29" s="13">
        <f t="shared" si="22"/>
        <v>-16</v>
      </c>
      <c r="DV29" s="13">
        <f t="shared" si="23"/>
        <v>33</v>
      </c>
      <c r="DW29" s="13">
        <f t="shared" si="24"/>
        <v>-8</v>
      </c>
      <c r="DX29" s="13">
        <f t="shared" si="25"/>
        <v>15</v>
      </c>
      <c r="DY29" s="13">
        <f t="shared" si="26"/>
        <v>-19</v>
      </c>
      <c r="DZ29" s="13">
        <f t="shared" si="27"/>
        <v>539</v>
      </c>
      <c r="EA29" s="13">
        <f t="shared" si="28"/>
        <v>81</v>
      </c>
      <c r="EB29" s="13">
        <f t="shared" si="29"/>
        <v>470</v>
      </c>
      <c r="EC29" s="13">
        <f t="shared" si="30"/>
        <v>253</v>
      </c>
      <c r="ED29" s="13">
        <f t="shared" si="31"/>
        <v>79</v>
      </c>
      <c r="EE29" s="13">
        <f t="shared" si="32"/>
        <v>-2</v>
      </c>
      <c r="EF29" s="13">
        <f t="shared" si="33"/>
        <v>-46</v>
      </c>
      <c r="EG29" s="13">
        <f t="shared" si="34"/>
        <v>-105</v>
      </c>
      <c r="EH29" s="13">
        <f t="shared" si="35"/>
        <v>648</v>
      </c>
      <c r="EI29" s="13">
        <f t="shared" si="36"/>
        <v>75</v>
      </c>
      <c r="EJ29" s="13">
        <f t="shared" si="37"/>
        <v>52</v>
      </c>
      <c r="EK29" s="13">
        <f t="shared" si="38"/>
        <v>39</v>
      </c>
      <c r="EL29" s="14">
        <f t="shared" si="15"/>
        <v>2421</v>
      </c>
    </row>
    <row r="30" spans="1:142" x14ac:dyDescent="0.2">
      <c r="A30" s="12">
        <v>44</v>
      </c>
      <c r="B30" s="13">
        <v>174</v>
      </c>
      <c r="C30" s="13">
        <v>164</v>
      </c>
      <c r="D30" s="13">
        <v>176</v>
      </c>
      <c r="E30" s="13">
        <v>181</v>
      </c>
      <c r="F30" s="13">
        <v>201</v>
      </c>
      <c r="G30" s="13">
        <v>246</v>
      </c>
      <c r="H30" s="13">
        <v>254</v>
      </c>
      <c r="I30" s="13">
        <v>336</v>
      </c>
      <c r="J30" s="13">
        <v>411</v>
      </c>
      <c r="K30" s="13">
        <v>349</v>
      </c>
      <c r="L30" s="13">
        <v>210</v>
      </c>
      <c r="M30" s="13">
        <v>229</v>
      </c>
      <c r="N30" s="13">
        <v>302</v>
      </c>
      <c r="O30" s="13">
        <v>185</v>
      </c>
      <c r="P30" s="13">
        <v>146</v>
      </c>
      <c r="Q30" s="13">
        <v>325</v>
      </c>
      <c r="R30" s="13">
        <v>425</v>
      </c>
      <c r="S30" s="13">
        <v>180</v>
      </c>
      <c r="T30" s="13">
        <v>148</v>
      </c>
      <c r="U30" s="13">
        <v>186</v>
      </c>
      <c r="V30" s="13">
        <v>204</v>
      </c>
      <c r="W30" s="13">
        <v>509</v>
      </c>
      <c r="X30" s="13">
        <v>567</v>
      </c>
      <c r="Y30" s="13">
        <v>239</v>
      </c>
      <c r="Z30" s="14">
        <f>AVERAGE(B30:Y30)</f>
        <v>264.45833333333331</v>
      </c>
      <c r="AA30" s="15">
        <f>_xlfn.STDEV.P(B30:Y30)</f>
        <v>113.50219497388096</v>
      </c>
      <c r="AB30" s="13">
        <f t="shared" si="4"/>
        <v>-25.458333333333314</v>
      </c>
      <c r="AC30" s="19">
        <f t="shared" si="5"/>
        <v>0.90373404758153464</v>
      </c>
      <c r="AD30" s="14">
        <v>502</v>
      </c>
      <c r="AE30" s="17">
        <v>574</v>
      </c>
      <c r="AF30" s="17">
        <v>522</v>
      </c>
      <c r="AG30" s="17">
        <v>156</v>
      </c>
      <c r="AH30" s="17">
        <v>408</v>
      </c>
      <c r="AI30" s="17">
        <v>335</v>
      </c>
      <c r="AJ30" s="17">
        <v>274</v>
      </c>
      <c r="AK30" s="17">
        <v>532</v>
      </c>
      <c r="AL30" s="17">
        <v>629</v>
      </c>
      <c r="AM30" s="17">
        <v>629</v>
      </c>
      <c r="AN30" s="17">
        <v>575</v>
      </c>
      <c r="AO30" s="17">
        <v>590</v>
      </c>
      <c r="AP30" s="17">
        <v>1592</v>
      </c>
      <c r="AQ30" s="17">
        <v>1544</v>
      </c>
      <c r="AR30" s="17">
        <v>1642</v>
      </c>
      <c r="AS30" s="17">
        <v>1966</v>
      </c>
      <c r="AT30" s="17">
        <v>2031</v>
      </c>
      <c r="AU30" s="17">
        <v>2573</v>
      </c>
      <c r="AV30" s="17">
        <v>2734</v>
      </c>
      <c r="AW30" s="17">
        <v>1893</v>
      </c>
      <c r="AX30" s="17">
        <v>2455</v>
      </c>
      <c r="AY30" s="17">
        <v>1680</v>
      </c>
      <c r="AZ30" s="17">
        <v>1636</v>
      </c>
      <c r="BA30" s="40">
        <v>1424</v>
      </c>
      <c r="BB30" s="17">
        <f>AVERAGE(AD30:BA30)</f>
        <v>1204</v>
      </c>
      <c r="BC30" s="41">
        <f>_xlfn.STDEV.P(AD30:BB30)</f>
        <v>775.40245034433565</v>
      </c>
      <c r="BD30" s="17">
        <f>BA30-BB30</f>
        <v>220</v>
      </c>
      <c r="BE30" s="42">
        <f>BA30/BB30</f>
        <v>1.1827242524916943</v>
      </c>
      <c r="BF30" s="13">
        <v>8</v>
      </c>
      <c r="BG30" s="13">
        <v>49</v>
      </c>
      <c r="BH30" s="13">
        <v>54</v>
      </c>
      <c r="BI30" s="13">
        <v>31</v>
      </c>
      <c r="BJ30" s="13">
        <v>12</v>
      </c>
      <c r="BK30" s="13">
        <v>25</v>
      </c>
      <c r="BL30" s="13">
        <v>141</v>
      </c>
      <c r="BM30" s="13">
        <v>132</v>
      </c>
      <c r="BN30" s="13">
        <v>617</v>
      </c>
      <c r="BO30" s="13">
        <v>174</v>
      </c>
      <c r="BP30" s="13">
        <v>153</v>
      </c>
      <c r="BQ30" s="13">
        <v>71</v>
      </c>
      <c r="BR30" s="13">
        <v>57</v>
      </c>
      <c r="BS30" s="13">
        <v>592</v>
      </c>
      <c r="BT30" s="13">
        <v>218</v>
      </c>
      <c r="BU30" s="13">
        <v>155</v>
      </c>
      <c r="BV30" s="13">
        <v>37</v>
      </c>
      <c r="BW30" s="13">
        <v>387</v>
      </c>
      <c r="BX30" s="13">
        <v>50</v>
      </c>
      <c r="BY30" s="13">
        <v>69</v>
      </c>
      <c r="BZ30" s="13">
        <v>105</v>
      </c>
      <c r="CA30" s="13">
        <v>341</v>
      </c>
      <c r="CB30" s="13">
        <v>232</v>
      </c>
      <c r="CC30" s="13">
        <v>348</v>
      </c>
      <c r="CD30" s="13">
        <v>39</v>
      </c>
      <c r="CE30" s="14">
        <f>AVERAGE(BF30:CD30)</f>
        <v>163.88</v>
      </c>
      <c r="CF30" s="41">
        <f>_xlfn.STDEV.P(BF30:CD30)</f>
        <v>167.31176169056377</v>
      </c>
      <c r="CG30" s="17">
        <f>MAX(BF30:CD30)</f>
        <v>617</v>
      </c>
      <c r="CH30" s="17">
        <f>AVERAGE(CB30:CD30)</f>
        <v>206.33333333333334</v>
      </c>
      <c r="CI30" s="41">
        <f>_xlfn.STDEV.P(CB30:CD30)</f>
        <v>127.44759271515836</v>
      </c>
      <c r="CJ30" s="41">
        <f>MAX(BY30:CD30)</f>
        <v>348</v>
      </c>
      <c r="CL30" s="23">
        <f t="shared" si="6"/>
        <v>10.765690376569038</v>
      </c>
      <c r="CM30" s="14">
        <f t="shared" si="7"/>
        <v>-378</v>
      </c>
      <c r="CN30" s="43">
        <f>100*IF(CM30&gt;0,CM30,0)</f>
        <v>0</v>
      </c>
      <c r="CO30" s="13">
        <f t="shared" si="8"/>
        <v>-109</v>
      </c>
      <c r="CP30" s="43">
        <f>100*IF(CO30&gt;0,CO30,0)</f>
        <v>0</v>
      </c>
      <c r="CQ30" s="13">
        <f>CE30+2*CF30</f>
        <v>498.50352338112754</v>
      </c>
      <c r="CR30" s="44">
        <f t="shared" si="9"/>
        <v>-259.50352338112754</v>
      </c>
      <c r="CS30" s="43">
        <f>100*IF(CR30&gt;0,CR30,0)</f>
        <v>0</v>
      </c>
      <c r="CU30" s="23">
        <f>SUM(BS30:CD30)/(0.8*BA30)</f>
        <v>2.2586025280898876</v>
      </c>
      <c r="CV30" s="14">
        <f>(0.65*AVERAGE(AD30:BA30))-CG30</f>
        <v>165.60000000000002</v>
      </c>
      <c r="CW30" s="43">
        <f>20*IF(CV30&gt;0,CV30,0)</f>
        <v>3312.0000000000005</v>
      </c>
      <c r="CX30" s="13">
        <f>0.8*BA30-CJ30</f>
        <v>791.2</v>
      </c>
      <c r="CY30" s="43">
        <f>20*IF(CX30&gt;0,CX30,0)</f>
        <v>15824</v>
      </c>
      <c r="CZ30" s="13">
        <f>CE30+2*CF30</f>
        <v>498.50352338112754</v>
      </c>
      <c r="DA30" s="44">
        <f>0.8*BA30-CQ30</f>
        <v>640.69647661887257</v>
      </c>
      <c r="DB30" s="43">
        <f>20*IF(DA30&gt;0,DA30,0)</f>
        <v>12813.929532377451</v>
      </c>
      <c r="DD30" s="23">
        <f t="shared" si="10"/>
        <v>1.592991579990094</v>
      </c>
      <c r="DE30" s="57">
        <f t="shared" si="16"/>
        <v>52380</v>
      </c>
      <c r="DF30" s="14">
        <f t="shared" si="11"/>
        <v>998.2</v>
      </c>
      <c r="DG30" s="43">
        <f>20*IF(DF30&gt;0,DF30,0)</f>
        <v>19964</v>
      </c>
      <c r="DH30" s="13">
        <f t="shared" si="12"/>
        <v>1267.2</v>
      </c>
      <c r="DI30" s="43">
        <f>20*IF(DH30&gt;0,DH30,0)</f>
        <v>25344</v>
      </c>
      <c r="DJ30" s="13">
        <f>CH32+2*CI32</f>
        <v>32.862326998287735</v>
      </c>
      <c r="DK30" s="44">
        <f t="shared" si="13"/>
        <v>1582.3376730017123</v>
      </c>
      <c r="DL30" s="43">
        <f>20*IF(DK30&gt;0,DK30,0)</f>
        <v>31646.753460034248</v>
      </c>
      <c r="DN30" s="13">
        <v>0</v>
      </c>
      <c r="DO30" s="13">
        <f>(C30-B30)+(AE30-AD30)+BG30</f>
        <v>111</v>
      </c>
      <c r="DP30" s="13">
        <f t="shared" si="17"/>
        <v>14</v>
      </c>
      <c r="DQ30" s="13">
        <f t="shared" si="18"/>
        <v>-330</v>
      </c>
      <c r="DR30" s="13">
        <f t="shared" si="19"/>
        <v>284</v>
      </c>
      <c r="DS30" s="13">
        <f t="shared" si="20"/>
        <v>-3</v>
      </c>
      <c r="DT30" s="13">
        <f t="shared" si="21"/>
        <v>88</v>
      </c>
      <c r="DU30" s="13">
        <f t="shared" si="22"/>
        <v>472</v>
      </c>
      <c r="DV30" s="13">
        <f t="shared" si="23"/>
        <v>789</v>
      </c>
      <c r="DW30" s="13">
        <f t="shared" si="24"/>
        <v>112</v>
      </c>
      <c r="DX30" s="13">
        <f t="shared" si="25"/>
        <v>-40</v>
      </c>
      <c r="DY30" s="13">
        <f t="shared" si="26"/>
        <v>105</v>
      </c>
      <c r="DZ30" s="13">
        <f t="shared" si="27"/>
        <v>1132</v>
      </c>
      <c r="EA30" s="13">
        <f t="shared" si="28"/>
        <v>427</v>
      </c>
      <c r="EB30" s="13">
        <f t="shared" si="29"/>
        <v>277</v>
      </c>
      <c r="EC30" s="13">
        <f t="shared" si="30"/>
        <v>658</v>
      </c>
      <c r="ED30" s="13">
        <f t="shared" si="31"/>
        <v>202</v>
      </c>
      <c r="EE30" s="13">
        <f t="shared" si="32"/>
        <v>684</v>
      </c>
      <c r="EF30" s="13">
        <f t="shared" si="33"/>
        <v>179</v>
      </c>
      <c r="EG30" s="13">
        <f t="shared" si="34"/>
        <v>-734</v>
      </c>
      <c r="EH30" s="13">
        <f t="shared" si="35"/>
        <v>685</v>
      </c>
      <c r="EI30" s="13">
        <f t="shared" si="36"/>
        <v>-129</v>
      </c>
      <c r="EJ30" s="13">
        <f t="shared" si="37"/>
        <v>246</v>
      </c>
      <c r="EK30" s="13">
        <f t="shared" si="38"/>
        <v>-192</v>
      </c>
      <c r="EL30" s="14">
        <f t="shared" si="15"/>
        <v>5037</v>
      </c>
    </row>
    <row r="31" spans="1:142" x14ac:dyDescent="0.2">
      <c r="A31" s="12">
        <v>45</v>
      </c>
      <c r="B31" s="13">
        <v>102</v>
      </c>
      <c r="C31" s="13">
        <v>134</v>
      </c>
      <c r="D31" s="13">
        <v>97</v>
      </c>
      <c r="E31" s="13">
        <v>110</v>
      </c>
      <c r="F31" s="13">
        <v>107</v>
      </c>
      <c r="G31" s="13">
        <v>93</v>
      </c>
      <c r="H31" s="13">
        <v>60</v>
      </c>
      <c r="I31" s="13">
        <v>48</v>
      </c>
      <c r="J31" s="13">
        <v>91</v>
      </c>
      <c r="K31" s="13">
        <v>90</v>
      </c>
      <c r="L31" s="13">
        <v>105</v>
      </c>
      <c r="M31" s="13">
        <v>83</v>
      </c>
      <c r="N31" s="13">
        <v>70</v>
      </c>
      <c r="O31" s="13">
        <v>69</v>
      </c>
      <c r="P31" s="13">
        <v>75</v>
      </c>
      <c r="Q31" s="13">
        <v>125</v>
      </c>
      <c r="R31" s="13">
        <v>129</v>
      </c>
      <c r="S31" s="13">
        <v>124</v>
      </c>
      <c r="T31" s="13">
        <v>94</v>
      </c>
      <c r="U31" s="13">
        <v>85</v>
      </c>
      <c r="V31" s="13">
        <v>104</v>
      </c>
      <c r="W31" s="13">
        <v>149</v>
      </c>
      <c r="X31" s="13">
        <v>215</v>
      </c>
      <c r="Y31" s="13">
        <v>207</v>
      </c>
      <c r="Z31" s="14">
        <f>AVERAGE(B31:Y31)</f>
        <v>106.91666666666667</v>
      </c>
      <c r="AA31" s="15">
        <f>_xlfn.STDEV.P(B31:Y31)</f>
        <v>39.209816656319909</v>
      </c>
      <c r="AB31" s="13">
        <f t="shared" si="4"/>
        <v>100.08333333333333</v>
      </c>
      <c r="AC31" s="19">
        <f t="shared" si="5"/>
        <v>1.9360872954014028</v>
      </c>
      <c r="AD31" s="14">
        <v>236</v>
      </c>
      <c r="AE31" s="17">
        <v>214</v>
      </c>
      <c r="AF31" s="17">
        <v>215</v>
      </c>
      <c r="AG31" s="17">
        <v>215</v>
      </c>
      <c r="AH31" s="17">
        <v>214</v>
      </c>
      <c r="AI31" s="17">
        <v>140</v>
      </c>
      <c r="AJ31" s="17">
        <v>415</v>
      </c>
      <c r="AK31" s="17">
        <v>518</v>
      </c>
      <c r="AL31" s="17">
        <v>433</v>
      </c>
      <c r="AM31" s="17">
        <v>433</v>
      </c>
      <c r="AN31" s="17">
        <v>433</v>
      </c>
      <c r="AO31" s="17">
        <v>480</v>
      </c>
      <c r="AP31" s="17">
        <v>578</v>
      </c>
      <c r="AQ31" s="17">
        <v>630</v>
      </c>
      <c r="AR31" s="17">
        <v>861</v>
      </c>
      <c r="AS31" s="17">
        <v>864</v>
      </c>
      <c r="AT31" s="17">
        <v>804</v>
      </c>
      <c r="AU31" s="17">
        <v>1074</v>
      </c>
      <c r="AV31" s="17">
        <v>998</v>
      </c>
      <c r="AW31" s="17">
        <v>957</v>
      </c>
      <c r="AX31" s="17">
        <v>1060</v>
      </c>
      <c r="AY31" s="17">
        <v>1088</v>
      </c>
      <c r="AZ31" s="17">
        <v>1053</v>
      </c>
      <c r="BA31" s="40">
        <v>1026</v>
      </c>
      <c r="BB31" s="17">
        <f>AVERAGE(AD31:BA31)</f>
        <v>622.45833333333337</v>
      </c>
      <c r="BC31" s="41">
        <f>_xlfn.STDEV.P(AD31:BB31)</f>
        <v>322.06980351056399</v>
      </c>
      <c r="BD31" s="17">
        <f>BA31-BB31</f>
        <v>403.54166666666663</v>
      </c>
      <c r="BE31" s="42">
        <f>BA31/BB31</f>
        <v>1.648303099270366</v>
      </c>
      <c r="BF31" s="13">
        <v>7</v>
      </c>
      <c r="BG31" s="13">
        <v>23</v>
      </c>
      <c r="BH31" s="13">
        <v>18</v>
      </c>
      <c r="BI31" s="13">
        <v>7</v>
      </c>
      <c r="BJ31" s="13">
        <v>9</v>
      </c>
      <c r="BK31" s="13">
        <v>5</v>
      </c>
      <c r="BL31" s="13">
        <v>24</v>
      </c>
      <c r="BM31" s="13">
        <v>44</v>
      </c>
      <c r="BN31" s="13">
        <v>51</v>
      </c>
      <c r="BO31" s="13">
        <v>24</v>
      </c>
      <c r="BP31" s="13">
        <v>14</v>
      </c>
      <c r="BQ31" s="13">
        <v>35</v>
      </c>
      <c r="BR31" s="13">
        <v>38</v>
      </c>
      <c r="BS31" s="13">
        <v>23</v>
      </c>
      <c r="BT31" s="13">
        <v>56</v>
      </c>
      <c r="BU31" s="13">
        <v>2</v>
      </c>
      <c r="BV31" s="13">
        <v>89</v>
      </c>
      <c r="BW31" s="13">
        <v>33</v>
      </c>
      <c r="BX31" s="13">
        <v>19</v>
      </c>
      <c r="BY31" s="13">
        <v>13</v>
      </c>
      <c r="BZ31" s="13">
        <v>8</v>
      </c>
      <c r="CA31" s="13">
        <v>12</v>
      </c>
      <c r="CB31" s="13">
        <v>10</v>
      </c>
      <c r="CC31" s="13">
        <v>36</v>
      </c>
      <c r="CD31" s="13">
        <v>0</v>
      </c>
      <c r="CE31" s="14">
        <f>AVERAGE(BF31:CD31)</f>
        <v>24</v>
      </c>
      <c r="CF31" s="41">
        <f>_xlfn.STDEV.P(BF31:CD31)</f>
        <v>20.023985617254123</v>
      </c>
      <c r="CG31" s="17">
        <f>MAX(BF31:CD31)</f>
        <v>89</v>
      </c>
      <c r="CH31" s="17">
        <f>AVERAGE(CB31:CD31)</f>
        <v>15.333333333333334</v>
      </c>
      <c r="CI31" s="41">
        <f>_xlfn.STDEV.P(CB31:CD31)</f>
        <v>15.173075568988056</v>
      </c>
      <c r="CJ31" s="41">
        <f>MAX(BY31:CD31)</f>
        <v>36</v>
      </c>
      <c r="CL31" s="23">
        <f t="shared" si="6"/>
        <v>1.4541062801932367</v>
      </c>
      <c r="CM31" s="14">
        <f t="shared" si="7"/>
        <v>118</v>
      </c>
      <c r="CN31" s="43">
        <f>100*IF(CM31&gt;0,CM31,0)</f>
        <v>11800</v>
      </c>
      <c r="CO31" s="13">
        <f t="shared" si="8"/>
        <v>171</v>
      </c>
      <c r="CP31" s="43">
        <f>100*IF(CO31&gt;0,CO31,0)</f>
        <v>17100</v>
      </c>
      <c r="CQ31" s="13">
        <f>CE31+2*CF31</f>
        <v>64.047971234508253</v>
      </c>
      <c r="CR31" s="44">
        <f t="shared" si="9"/>
        <v>142.95202876549175</v>
      </c>
      <c r="CS31" s="43">
        <f>100*IF(CR31&gt;0,CR31,0)</f>
        <v>14295.202876549174</v>
      </c>
      <c r="CU31" s="23">
        <f>SUM(BS31:CD31)/(0.8*BA31)</f>
        <v>0.36671539961013644</v>
      </c>
      <c r="CV31" s="14">
        <f>(0.65*AVERAGE(AD31:BA31))-CG31</f>
        <v>315.59791666666672</v>
      </c>
      <c r="CW31" s="43">
        <f>20*IF(CV31&gt;0,CV31,0)</f>
        <v>6311.9583333333339</v>
      </c>
      <c r="CX31" s="13">
        <f>0.8*BA31-CJ31</f>
        <v>784.80000000000007</v>
      </c>
      <c r="CY31" s="43">
        <f>20*IF(CX31&gt;0,CX31,0)</f>
        <v>15696.000000000002</v>
      </c>
      <c r="CZ31" s="13">
        <f>CE31+2*CF31</f>
        <v>64.047971234508253</v>
      </c>
      <c r="DA31" s="44">
        <f>0.8*BA31-CQ31</f>
        <v>756.75202876549179</v>
      </c>
      <c r="DB31" s="43">
        <f>20*IF(DA31&gt;0,DA31,0)</f>
        <v>15135.040575309835</v>
      </c>
      <c r="DD31" s="23">
        <f t="shared" si="10"/>
        <v>0.25260154414232966</v>
      </c>
      <c r="DE31" s="57">
        <f t="shared" si="16"/>
        <v>41220</v>
      </c>
      <c r="DF31" s="14">
        <f t="shared" si="11"/>
        <v>1102.5999999999999</v>
      </c>
      <c r="DG31" s="43">
        <f>20*IF(DF31&gt;0,DF31,0)</f>
        <v>22052</v>
      </c>
      <c r="DH31" s="13">
        <f t="shared" si="12"/>
        <v>1155.5999999999999</v>
      </c>
      <c r="DI31" s="43">
        <f>20*IF(DH31&gt;0,DH31,0)</f>
        <v>23112</v>
      </c>
      <c r="DJ31" s="13">
        <f>CH33+2*CI33</f>
        <v>161.81374745950399</v>
      </c>
      <c r="DK31" s="44">
        <f t="shared" si="13"/>
        <v>1029.786252540496</v>
      </c>
      <c r="DL31" s="43">
        <f>20*IF(DK31&gt;0,DK31,0)</f>
        <v>20595.725050809921</v>
      </c>
      <c r="DN31" s="13">
        <v>0</v>
      </c>
      <c r="DO31" s="13">
        <f>(C31-B31)+(AE31-AD31)+BG31</f>
        <v>33</v>
      </c>
      <c r="DP31" s="13">
        <f t="shared" si="17"/>
        <v>-18</v>
      </c>
      <c r="DQ31" s="13">
        <f t="shared" si="18"/>
        <v>20</v>
      </c>
      <c r="DR31" s="13">
        <f t="shared" si="19"/>
        <v>5</v>
      </c>
      <c r="DS31" s="13">
        <f t="shared" si="20"/>
        <v>-83</v>
      </c>
      <c r="DT31" s="13">
        <f t="shared" si="21"/>
        <v>266</v>
      </c>
      <c r="DU31" s="13">
        <f t="shared" si="22"/>
        <v>135</v>
      </c>
      <c r="DV31" s="13">
        <f t="shared" si="23"/>
        <v>9</v>
      </c>
      <c r="DW31" s="13">
        <f t="shared" si="24"/>
        <v>23</v>
      </c>
      <c r="DX31" s="13">
        <f t="shared" si="25"/>
        <v>29</v>
      </c>
      <c r="DY31" s="13">
        <f t="shared" si="26"/>
        <v>60</v>
      </c>
      <c r="DZ31" s="13">
        <f t="shared" si="27"/>
        <v>123</v>
      </c>
      <c r="EA31" s="13">
        <f t="shared" si="28"/>
        <v>74</v>
      </c>
      <c r="EB31" s="13">
        <f t="shared" si="29"/>
        <v>293</v>
      </c>
      <c r="EC31" s="13">
        <f t="shared" si="30"/>
        <v>55</v>
      </c>
      <c r="ED31" s="13">
        <f t="shared" si="31"/>
        <v>33</v>
      </c>
      <c r="EE31" s="13">
        <f t="shared" si="32"/>
        <v>298</v>
      </c>
      <c r="EF31" s="13">
        <f t="shared" si="33"/>
        <v>-87</v>
      </c>
      <c r="EG31" s="13">
        <f t="shared" si="34"/>
        <v>-37</v>
      </c>
      <c r="EH31" s="13">
        <f t="shared" si="35"/>
        <v>130</v>
      </c>
      <c r="EI31" s="13">
        <f t="shared" si="36"/>
        <v>85</v>
      </c>
      <c r="EJ31" s="13">
        <f t="shared" si="37"/>
        <v>41</v>
      </c>
      <c r="EK31" s="13">
        <f t="shared" si="38"/>
        <v>1</v>
      </c>
      <c r="EL31" s="14">
        <f t="shared" si="15"/>
        <v>1488</v>
      </c>
    </row>
    <row r="32" spans="1:142" x14ac:dyDescent="0.2">
      <c r="A32" s="12">
        <v>46</v>
      </c>
      <c r="B32" s="13">
        <v>81</v>
      </c>
      <c r="C32" s="13">
        <v>68</v>
      </c>
      <c r="D32" s="13">
        <v>76</v>
      </c>
      <c r="E32" s="13">
        <v>69</v>
      </c>
      <c r="F32" s="13">
        <v>53</v>
      </c>
      <c r="G32" s="13">
        <v>52</v>
      </c>
      <c r="H32" s="13">
        <v>52</v>
      </c>
      <c r="I32" s="13">
        <v>62</v>
      </c>
      <c r="J32" s="13">
        <v>98</v>
      </c>
      <c r="K32" s="13">
        <v>100</v>
      </c>
      <c r="L32" s="13">
        <v>96</v>
      </c>
      <c r="M32" s="13">
        <v>93</v>
      </c>
      <c r="N32" s="13">
        <v>81</v>
      </c>
      <c r="O32" s="13">
        <v>67</v>
      </c>
      <c r="P32" s="13">
        <v>69</v>
      </c>
      <c r="Q32" s="13">
        <v>85</v>
      </c>
      <c r="R32" s="13">
        <v>92</v>
      </c>
      <c r="S32" s="13">
        <v>87</v>
      </c>
      <c r="T32" s="13">
        <v>88</v>
      </c>
      <c r="U32" s="13">
        <v>93</v>
      </c>
      <c r="V32" s="13">
        <v>87</v>
      </c>
      <c r="W32" s="13">
        <v>79</v>
      </c>
      <c r="X32" s="13">
        <v>88</v>
      </c>
      <c r="Y32" s="13">
        <v>85</v>
      </c>
      <c r="Z32" s="14">
        <f>AVERAGE(B32:Y32)</f>
        <v>79.208333333333329</v>
      </c>
      <c r="AA32" s="15">
        <f>_xlfn.STDEV.P(B32:Y32)</f>
        <v>14.314850001154589</v>
      </c>
      <c r="AB32" s="13">
        <f t="shared" si="4"/>
        <v>5.7916666666666714</v>
      </c>
      <c r="AC32" s="19">
        <f t="shared" si="5"/>
        <v>1.0731194108364019</v>
      </c>
      <c r="AD32" s="14">
        <v>34</v>
      </c>
      <c r="AE32" s="17">
        <v>50</v>
      </c>
      <c r="AF32" s="17">
        <v>50</v>
      </c>
      <c r="AG32" s="17">
        <v>50</v>
      </c>
      <c r="AH32" s="17">
        <v>24</v>
      </c>
      <c r="AI32" s="17">
        <v>27</v>
      </c>
      <c r="AJ32" s="17">
        <v>37</v>
      </c>
      <c r="AK32" s="17">
        <v>112</v>
      </c>
      <c r="AL32" s="17">
        <v>112</v>
      </c>
      <c r="AM32" s="17">
        <v>112</v>
      </c>
      <c r="AN32" s="17">
        <v>113</v>
      </c>
      <c r="AO32" s="17">
        <v>139</v>
      </c>
      <c r="AP32" s="17">
        <v>172</v>
      </c>
      <c r="AQ32" s="17">
        <v>220</v>
      </c>
      <c r="AR32" s="17">
        <v>194</v>
      </c>
      <c r="AS32" s="17">
        <v>193</v>
      </c>
      <c r="AT32" s="17">
        <v>194</v>
      </c>
      <c r="AU32" s="17">
        <v>209</v>
      </c>
      <c r="AV32" s="17">
        <v>138</v>
      </c>
      <c r="AW32" s="17">
        <v>108</v>
      </c>
      <c r="AX32" s="17">
        <v>109</v>
      </c>
      <c r="AY32" s="17">
        <v>96</v>
      </c>
      <c r="AZ32" s="17">
        <v>134</v>
      </c>
      <c r="BA32" s="40">
        <v>217</v>
      </c>
      <c r="BB32" s="17">
        <f>AVERAGE(AD32:BA32)</f>
        <v>118.5</v>
      </c>
      <c r="BC32" s="41">
        <f>_xlfn.STDEV.P(AD32:BB32)</f>
        <v>61.668144126445057</v>
      </c>
      <c r="BD32" s="17">
        <f>BA32-BB32</f>
        <v>98.5</v>
      </c>
      <c r="BE32" s="42">
        <f>BA32/BB32</f>
        <v>1.8312236286919832</v>
      </c>
      <c r="BF32" s="13">
        <v>8</v>
      </c>
      <c r="BG32" s="13">
        <v>34</v>
      </c>
      <c r="BH32" s="13">
        <v>9</v>
      </c>
      <c r="BI32" s="13">
        <v>12</v>
      </c>
      <c r="BJ32" s="13">
        <v>13</v>
      </c>
      <c r="BK32" s="13">
        <v>0</v>
      </c>
      <c r="BL32" s="13">
        <v>10</v>
      </c>
      <c r="BM32" s="13">
        <v>7</v>
      </c>
      <c r="BN32" s="13">
        <v>26</v>
      </c>
      <c r="BO32" s="13">
        <v>7</v>
      </c>
      <c r="BP32" s="13">
        <v>6</v>
      </c>
      <c r="BQ32" s="13">
        <v>0</v>
      </c>
      <c r="BR32" s="13">
        <v>12</v>
      </c>
      <c r="BS32" s="13">
        <v>20</v>
      </c>
      <c r="BT32" s="13">
        <v>1</v>
      </c>
      <c r="BU32" s="13">
        <v>41</v>
      </c>
      <c r="BV32" s="13">
        <v>18</v>
      </c>
      <c r="BW32" s="13">
        <v>9</v>
      </c>
      <c r="BX32" s="13">
        <v>18</v>
      </c>
      <c r="BY32" s="13">
        <v>22</v>
      </c>
      <c r="BZ32" s="13">
        <v>29</v>
      </c>
      <c r="CA32" s="13">
        <v>8</v>
      </c>
      <c r="CB32" s="13">
        <v>5</v>
      </c>
      <c r="CC32" s="13">
        <v>26</v>
      </c>
      <c r="CD32" s="13">
        <v>0</v>
      </c>
      <c r="CE32" s="14">
        <f>AVERAGE(BF32:CD32)</f>
        <v>13.64</v>
      </c>
      <c r="CF32" s="41">
        <f>_xlfn.STDEV.P(BF32:CD32)</f>
        <v>10.80325876761267</v>
      </c>
      <c r="CG32" s="17">
        <f>MAX(BF32:CD32)</f>
        <v>41</v>
      </c>
      <c r="CH32" s="17">
        <f>AVERAGE(CB32:CD32)</f>
        <v>10.333333333333334</v>
      </c>
      <c r="CI32" s="41">
        <f>_xlfn.STDEV.P(CB32:CD32)</f>
        <v>11.264496832477201</v>
      </c>
      <c r="CJ32" s="41">
        <f>MAX(BY32:CD32)</f>
        <v>29</v>
      </c>
      <c r="CL32" s="23">
        <f t="shared" si="6"/>
        <v>2.3176470588235296</v>
      </c>
      <c r="CM32" s="14">
        <f t="shared" si="7"/>
        <v>44</v>
      </c>
      <c r="CN32" s="43">
        <f>100*IF(CM32&gt;0,CM32,0)</f>
        <v>4400</v>
      </c>
      <c r="CO32" s="13">
        <f t="shared" si="8"/>
        <v>56</v>
      </c>
      <c r="CP32" s="43">
        <f>100*IF(CO32&gt;0,CO32,0)</f>
        <v>5600</v>
      </c>
      <c r="CQ32" s="13">
        <f>CE32+2*CF32</f>
        <v>35.246517535225337</v>
      </c>
      <c r="CR32" s="44">
        <f t="shared" si="9"/>
        <v>49.753482464774663</v>
      </c>
      <c r="CS32" s="43">
        <f>100*IF(CR32&gt;0,CR32,0)</f>
        <v>4975.3482464774661</v>
      </c>
      <c r="CU32" s="23">
        <f>SUM(BS32:CD32)/(0.8*BA32)</f>
        <v>1.1347926267281105</v>
      </c>
      <c r="CV32" s="14">
        <f>(0.65*AVERAGE(AD32:BA32))-CG32</f>
        <v>36.025000000000006</v>
      </c>
      <c r="CW32" s="43">
        <f>20*IF(CV32&gt;0,CV32,0)</f>
        <v>720.50000000000011</v>
      </c>
      <c r="CX32" s="13">
        <f>0.8*BA32-CJ32</f>
        <v>144.60000000000002</v>
      </c>
      <c r="CY32" s="43">
        <f>20*IF(CX32&gt;0,CX32,0)</f>
        <v>2892.0000000000005</v>
      </c>
      <c r="CZ32" s="13">
        <f>CE32+2*CF32</f>
        <v>35.246517535225337</v>
      </c>
      <c r="DA32" s="44">
        <f>0.8*BA32-CQ32</f>
        <v>138.35348246477469</v>
      </c>
      <c r="DB32" s="43">
        <f>20*IF(DA32&gt;0,DA32,0)</f>
        <v>2767.0696492954939</v>
      </c>
      <c r="DD32" s="23">
        <f t="shared" si="10"/>
        <v>0.69122807017543864</v>
      </c>
      <c r="DE32" s="57">
        <f t="shared" si="16"/>
        <v>12840</v>
      </c>
      <c r="DF32" s="14">
        <f t="shared" si="11"/>
        <v>244</v>
      </c>
      <c r="DG32" s="43">
        <f>20*IF(DF32&gt;0,DF32,0)</f>
        <v>4880</v>
      </c>
      <c r="DH32" s="13">
        <f t="shared" si="12"/>
        <v>256</v>
      </c>
      <c r="DI32" s="43">
        <f>20*IF(DH32&gt;0,DH32,0)</f>
        <v>5120</v>
      </c>
      <c r="DJ32" s="13">
        <f>CH34+2*CI34</f>
        <v>157.01141463269062</v>
      </c>
      <c r="DK32" s="44">
        <f t="shared" si="13"/>
        <v>127.98858536730938</v>
      </c>
      <c r="DL32" s="43">
        <f>20*IF(DK32&gt;0,DK32,0)</f>
        <v>2559.7717073461877</v>
      </c>
      <c r="DN32" s="13">
        <v>0</v>
      </c>
      <c r="DO32" s="13">
        <f>(C32-B32)+(AE32-AD32)+BG32</f>
        <v>37</v>
      </c>
      <c r="DP32" s="13">
        <f t="shared" si="17"/>
        <v>17</v>
      </c>
      <c r="DQ32" s="13">
        <f t="shared" si="18"/>
        <v>5</v>
      </c>
      <c r="DR32" s="13">
        <f t="shared" si="19"/>
        <v>-29</v>
      </c>
      <c r="DS32" s="13">
        <f t="shared" si="20"/>
        <v>2</v>
      </c>
      <c r="DT32" s="13">
        <f t="shared" si="21"/>
        <v>20</v>
      </c>
      <c r="DU32" s="13">
        <f t="shared" si="22"/>
        <v>92</v>
      </c>
      <c r="DV32" s="13">
        <f t="shared" si="23"/>
        <v>62</v>
      </c>
      <c r="DW32" s="13">
        <f t="shared" si="24"/>
        <v>9</v>
      </c>
      <c r="DX32" s="13">
        <f t="shared" si="25"/>
        <v>3</v>
      </c>
      <c r="DY32" s="13">
        <f t="shared" si="26"/>
        <v>23</v>
      </c>
      <c r="DZ32" s="13">
        <f t="shared" si="27"/>
        <v>33</v>
      </c>
      <c r="EA32" s="13">
        <f t="shared" si="28"/>
        <v>54</v>
      </c>
      <c r="EB32" s="13">
        <f t="shared" si="29"/>
        <v>-23</v>
      </c>
      <c r="EC32" s="13">
        <f t="shared" si="30"/>
        <v>56</v>
      </c>
      <c r="ED32" s="13">
        <f t="shared" si="31"/>
        <v>26</v>
      </c>
      <c r="EE32" s="13">
        <f t="shared" si="32"/>
        <v>19</v>
      </c>
      <c r="EF32" s="13">
        <f t="shared" si="33"/>
        <v>-52</v>
      </c>
      <c r="EG32" s="13">
        <f t="shared" si="34"/>
        <v>-3</v>
      </c>
      <c r="EH32" s="13">
        <f t="shared" si="35"/>
        <v>24</v>
      </c>
      <c r="EI32" s="13">
        <f t="shared" si="36"/>
        <v>-13</v>
      </c>
      <c r="EJ32" s="13">
        <f t="shared" si="37"/>
        <v>52</v>
      </c>
      <c r="EK32" s="13">
        <f t="shared" si="38"/>
        <v>106</v>
      </c>
      <c r="EL32" s="14">
        <f t="shared" si="15"/>
        <v>520</v>
      </c>
    </row>
    <row r="33" spans="1:142" x14ac:dyDescent="0.2">
      <c r="A33" s="12">
        <v>47</v>
      </c>
      <c r="B33" s="13">
        <v>236</v>
      </c>
      <c r="C33" s="13">
        <v>228</v>
      </c>
      <c r="D33" s="13">
        <v>201</v>
      </c>
      <c r="E33" s="13">
        <v>197</v>
      </c>
      <c r="F33" s="13">
        <v>191</v>
      </c>
      <c r="G33" s="13">
        <v>188</v>
      </c>
      <c r="H33" s="13">
        <v>118</v>
      </c>
      <c r="I33" s="13">
        <v>191</v>
      </c>
      <c r="J33" s="13">
        <v>183</v>
      </c>
      <c r="K33" s="13">
        <v>123</v>
      </c>
      <c r="L33" s="13">
        <v>118</v>
      </c>
      <c r="M33" s="13">
        <v>114</v>
      </c>
      <c r="N33" s="13">
        <v>130</v>
      </c>
      <c r="O33" s="13">
        <v>117</v>
      </c>
      <c r="P33" s="13">
        <v>131</v>
      </c>
      <c r="Q33" s="13">
        <v>113</v>
      </c>
      <c r="R33" s="13">
        <v>106</v>
      </c>
      <c r="S33" s="13">
        <v>118</v>
      </c>
      <c r="T33" s="13">
        <v>112</v>
      </c>
      <c r="U33" s="13">
        <v>202</v>
      </c>
      <c r="V33" s="13">
        <v>214</v>
      </c>
      <c r="W33" s="13">
        <v>200</v>
      </c>
      <c r="X33" s="13">
        <v>282</v>
      </c>
      <c r="Y33" s="13">
        <v>241</v>
      </c>
      <c r="Z33" s="14">
        <f>AVERAGE(B33:Y33)</f>
        <v>168.91666666666666</v>
      </c>
      <c r="AA33" s="15">
        <f>_xlfn.STDEV.P(B33:Y33)</f>
        <v>50.948435261110383</v>
      </c>
      <c r="AB33" s="13">
        <f t="shared" si="4"/>
        <v>72.083333333333343</v>
      </c>
      <c r="AC33" s="19">
        <f t="shared" si="5"/>
        <v>1.4267390231869759</v>
      </c>
      <c r="AD33" s="14">
        <v>284</v>
      </c>
      <c r="AE33" s="17">
        <v>211</v>
      </c>
      <c r="AF33" s="17">
        <v>158</v>
      </c>
      <c r="AG33" s="17">
        <v>152</v>
      </c>
      <c r="AH33" s="17">
        <v>97</v>
      </c>
      <c r="AI33" s="17">
        <v>193</v>
      </c>
      <c r="AJ33" s="17">
        <v>165</v>
      </c>
      <c r="AK33" s="17">
        <v>129</v>
      </c>
      <c r="AL33" s="17">
        <v>186</v>
      </c>
      <c r="AM33" s="17">
        <v>163</v>
      </c>
      <c r="AN33" s="17">
        <v>166</v>
      </c>
      <c r="AO33" s="17">
        <v>151</v>
      </c>
      <c r="AP33" s="17">
        <v>672</v>
      </c>
      <c r="AQ33" s="17">
        <v>688</v>
      </c>
      <c r="AR33" s="17">
        <v>719</v>
      </c>
      <c r="AS33" s="17">
        <v>711</v>
      </c>
      <c r="AT33" s="17">
        <v>742</v>
      </c>
      <c r="AU33" s="17">
        <v>658</v>
      </c>
      <c r="AV33" s="17">
        <v>412</v>
      </c>
      <c r="AW33" s="17">
        <v>400</v>
      </c>
      <c r="AX33" s="17">
        <v>610</v>
      </c>
      <c r="AY33" s="17">
        <v>462</v>
      </c>
      <c r="AZ33" s="17">
        <v>708</v>
      </c>
      <c r="BA33" s="40">
        <v>1063</v>
      </c>
      <c r="BB33" s="17">
        <f>AVERAGE(AD33:BA33)</f>
        <v>412.5</v>
      </c>
      <c r="BC33" s="41">
        <f>_xlfn.STDEV.P(AD33:BB33)</f>
        <v>266.00751869073173</v>
      </c>
      <c r="BD33" s="17">
        <f>BA33-BB33</f>
        <v>650.5</v>
      </c>
      <c r="BE33" s="42">
        <f>BA33/BB33</f>
        <v>2.5769696969696971</v>
      </c>
      <c r="BF33" s="13">
        <v>7</v>
      </c>
      <c r="BG33" s="13">
        <v>74</v>
      </c>
      <c r="BH33" s="13">
        <v>34</v>
      </c>
      <c r="BI33" s="13">
        <v>19</v>
      </c>
      <c r="BJ33" s="13">
        <v>3</v>
      </c>
      <c r="BK33" s="13">
        <v>1</v>
      </c>
      <c r="BL33" s="13">
        <v>27</v>
      </c>
      <c r="BM33" s="13">
        <v>60</v>
      </c>
      <c r="BN33" s="13">
        <v>255</v>
      </c>
      <c r="BO33" s="13">
        <v>158</v>
      </c>
      <c r="BP33" s="13">
        <v>46</v>
      </c>
      <c r="BQ33" s="13">
        <v>0</v>
      </c>
      <c r="BR33" s="13">
        <v>253</v>
      </c>
      <c r="BS33" s="13">
        <v>30</v>
      </c>
      <c r="BT33" s="13">
        <v>6</v>
      </c>
      <c r="BU33" s="13">
        <v>3</v>
      </c>
      <c r="BV33" s="13">
        <v>59</v>
      </c>
      <c r="BW33" s="13">
        <v>16</v>
      </c>
      <c r="BX33" s="13">
        <v>90</v>
      </c>
      <c r="BY33" s="13">
        <v>60</v>
      </c>
      <c r="BZ33" s="13">
        <v>31</v>
      </c>
      <c r="CA33" s="13">
        <v>166</v>
      </c>
      <c r="CB33" s="13">
        <v>7</v>
      </c>
      <c r="CC33" s="13">
        <v>129</v>
      </c>
      <c r="CD33" s="13">
        <v>41</v>
      </c>
      <c r="CE33" s="14">
        <f>AVERAGE(BF33:CD33)</f>
        <v>63</v>
      </c>
      <c r="CF33" s="41">
        <f>_xlfn.STDEV.P(BF33:CD33)</f>
        <v>72.536887167840334</v>
      </c>
      <c r="CG33" s="17">
        <f>MAX(BF33:CD33)</f>
        <v>255</v>
      </c>
      <c r="CH33" s="17">
        <f>AVERAGE(CB33:CD33)</f>
        <v>59</v>
      </c>
      <c r="CI33" s="41">
        <f>_xlfn.STDEV.P(CB33:CD33)</f>
        <v>51.406873729752</v>
      </c>
      <c r="CJ33" s="41">
        <f>MAX(BY33:CD33)</f>
        <v>166</v>
      </c>
      <c r="CL33" s="23">
        <f t="shared" si="6"/>
        <v>2.6473029045643153</v>
      </c>
      <c r="CM33" s="14">
        <f t="shared" si="7"/>
        <v>-14</v>
      </c>
      <c r="CN33" s="43">
        <f>100*IF(CM33&gt;0,CM33,0)</f>
        <v>0</v>
      </c>
      <c r="CO33" s="13">
        <f t="shared" si="8"/>
        <v>75</v>
      </c>
      <c r="CP33" s="43">
        <f>100*IF(CO33&gt;0,CO33,0)</f>
        <v>7500</v>
      </c>
      <c r="CQ33" s="13">
        <f>CE33+2*CF33</f>
        <v>208.07377433568067</v>
      </c>
      <c r="CR33" s="44">
        <f t="shared" si="9"/>
        <v>32.926225664319333</v>
      </c>
      <c r="CS33" s="43">
        <f>100*IF(CR33&gt;0,CR33,0)</f>
        <v>3292.6225664319331</v>
      </c>
      <c r="CU33" s="23">
        <f>SUM(BS33:CD33)/(0.8*BA33)</f>
        <v>0.75023518344308548</v>
      </c>
      <c r="CV33" s="14">
        <f>(0.65*AVERAGE(AD33:BA33))-CG33</f>
        <v>13.125</v>
      </c>
      <c r="CW33" s="43">
        <f>20*IF(CV33&gt;0,CV33,0)</f>
        <v>262.5</v>
      </c>
      <c r="CX33" s="13">
        <f>0.8*BA33-CJ33</f>
        <v>684.40000000000009</v>
      </c>
      <c r="CY33" s="43">
        <f>20*IF(CX33&gt;0,CX33,0)</f>
        <v>13688.000000000002</v>
      </c>
      <c r="CZ33" s="13">
        <f>CE33+2*CF33</f>
        <v>208.07377433568067</v>
      </c>
      <c r="DA33" s="44">
        <f>0.8*BA33-CQ33</f>
        <v>642.3262256643194</v>
      </c>
      <c r="DB33" s="43">
        <f>20*IF(DA33&gt;0,DA33,0)</f>
        <v>12846.524513286387</v>
      </c>
      <c r="DD33" s="23">
        <f t="shared" si="10"/>
        <v>0.50804268195572544</v>
      </c>
      <c r="DE33" s="57">
        <f t="shared" si="16"/>
        <v>45360</v>
      </c>
      <c r="DF33" s="14">
        <f t="shared" si="11"/>
        <v>1000.8</v>
      </c>
      <c r="DG33" s="43">
        <f>20*IF(DF33&gt;0,DF33,0)</f>
        <v>20016</v>
      </c>
      <c r="DH33" s="13">
        <f t="shared" si="12"/>
        <v>1089.8</v>
      </c>
      <c r="DI33" s="43">
        <f>20*IF(DH33&gt;0,DH33,0)</f>
        <v>21796</v>
      </c>
      <c r="DJ33" s="13">
        <f>CH35+2*CI35</f>
        <v>37.963177048988115</v>
      </c>
      <c r="DK33" s="44">
        <f t="shared" si="13"/>
        <v>1217.8368229510118</v>
      </c>
      <c r="DL33" s="43">
        <f>20*IF(DK33&gt;0,DK33,0)</f>
        <v>24356.736459020234</v>
      </c>
      <c r="DN33" s="13">
        <v>0</v>
      </c>
      <c r="DO33" s="13">
        <f>(C33-B33)+(AE33-AD33)+BG33</f>
        <v>-7</v>
      </c>
      <c r="DP33" s="13">
        <f t="shared" si="17"/>
        <v>-46</v>
      </c>
      <c r="DQ33" s="13">
        <f t="shared" si="18"/>
        <v>9</v>
      </c>
      <c r="DR33" s="13">
        <f t="shared" si="19"/>
        <v>-58</v>
      </c>
      <c r="DS33" s="13">
        <f t="shared" si="20"/>
        <v>94</v>
      </c>
      <c r="DT33" s="13">
        <f t="shared" si="21"/>
        <v>-71</v>
      </c>
      <c r="DU33" s="13">
        <f t="shared" si="22"/>
        <v>97</v>
      </c>
      <c r="DV33" s="13">
        <f t="shared" si="23"/>
        <v>304</v>
      </c>
      <c r="DW33" s="13">
        <f t="shared" si="24"/>
        <v>75</v>
      </c>
      <c r="DX33" s="13">
        <f t="shared" si="25"/>
        <v>44</v>
      </c>
      <c r="DY33" s="13">
        <f t="shared" si="26"/>
        <v>-19</v>
      </c>
      <c r="DZ33" s="13">
        <f t="shared" si="27"/>
        <v>790</v>
      </c>
      <c r="EA33" s="13">
        <f t="shared" si="28"/>
        <v>33</v>
      </c>
      <c r="EB33" s="13">
        <f t="shared" si="29"/>
        <v>51</v>
      </c>
      <c r="EC33" s="13">
        <f t="shared" si="30"/>
        <v>-23</v>
      </c>
      <c r="ED33" s="13">
        <f t="shared" si="31"/>
        <v>83</v>
      </c>
      <c r="EE33" s="13">
        <f t="shared" si="32"/>
        <v>-56</v>
      </c>
      <c r="EF33" s="13">
        <f t="shared" si="33"/>
        <v>-162</v>
      </c>
      <c r="EG33" s="13">
        <f t="shared" si="34"/>
        <v>138</v>
      </c>
      <c r="EH33" s="13">
        <f t="shared" si="35"/>
        <v>253</v>
      </c>
      <c r="EI33" s="13">
        <f t="shared" si="36"/>
        <v>4</v>
      </c>
      <c r="EJ33" s="13">
        <f t="shared" si="37"/>
        <v>335</v>
      </c>
      <c r="EK33" s="13">
        <f t="shared" si="38"/>
        <v>443</v>
      </c>
      <c r="EL33" s="14">
        <f t="shared" si="15"/>
        <v>2311</v>
      </c>
    </row>
    <row r="34" spans="1:142" x14ac:dyDescent="0.2">
      <c r="A34" s="12">
        <v>48</v>
      </c>
      <c r="B34" s="13">
        <v>199</v>
      </c>
      <c r="C34" s="13">
        <v>195</v>
      </c>
      <c r="D34" s="13">
        <v>214</v>
      </c>
      <c r="E34" s="13">
        <v>235</v>
      </c>
      <c r="F34" s="13">
        <v>201</v>
      </c>
      <c r="G34" s="13">
        <v>167</v>
      </c>
      <c r="H34" s="13">
        <v>179</v>
      </c>
      <c r="I34" s="13">
        <v>130</v>
      </c>
      <c r="J34" s="13">
        <v>321</v>
      </c>
      <c r="K34" s="13">
        <v>273</v>
      </c>
      <c r="L34" s="13">
        <v>173</v>
      </c>
      <c r="M34" s="13">
        <v>142</v>
      </c>
      <c r="N34" s="13">
        <v>238</v>
      </c>
      <c r="O34" s="13">
        <v>286</v>
      </c>
      <c r="P34" s="13">
        <v>293</v>
      </c>
      <c r="Q34" s="13">
        <v>290</v>
      </c>
      <c r="R34" s="13">
        <v>427</v>
      </c>
      <c r="S34" s="13">
        <v>311</v>
      </c>
      <c r="T34" s="13">
        <v>297</v>
      </c>
      <c r="U34" s="13">
        <v>394</v>
      </c>
      <c r="V34" s="13">
        <v>425</v>
      </c>
      <c r="W34" s="13">
        <v>514</v>
      </c>
      <c r="X34" s="13">
        <v>538</v>
      </c>
      <c r="Y34" s="13">
        <v>539</v>
      </c>
      <c r="Z34" s="14">
        <f>AVERAGE(B34:Y34)</f>
        <v>290.875</v>
      </c>
      <c r="AA34" s="15">
        <f>_xlfn.STDEV.P(B34:Y34)</f>
        <v>120.52189030075269</v>
      </c>
      <c r="AB34" s="13">
        <f t="shared" si="4"/>
        <v>248.125</v>
      </c>
      <c r="AC34" s="19">
        <f t="shared" si="5"/>
        <v>1.8530296519123335</v>
      </c>
      <c r="AD34" s="14">
        <v>316</v>
      </c>
      <c r="AE34" s="17">
        <v>238</v>
      </c>
      <c r="AF34" s="17">
        <v>298</v>
      </c>
      <c r="AG34" s="17">
        <v>298</v>
      </c>
      <c r="AH34" s="17">
        <v>297</v>
      </c>
      <c r="AI34" s="17">
        <v>407</v>
      </c>
      <c r="AJ34" s="17">
        <v>291</v>
      </c>
      <c r="AK34" s="17">
        <v>380</v>
      </c>
      <c r="AL34" s="17">
        <v>518</v>
      </c>
      <c r="AM34" s="17">
        <v>459</v>
      </c>
      <c r="AN34" s="17">
        <v>460</v>
      </c>
      <c r="AO34" s="17">
        <v>321</v>
      </c>
      <c r="AP34" s="17">
        <v>1206</v>
      </c>
      <c r="AQ34" s="17">
        <v>1049</v>
      </c>
      <c r="AR34" s="17">
        <v>1101</v>
      </c>
      <c r="AS34" s="17">
        <v>1075</v>
      </c>
      <c r="AT34" s="17">
        <v>1097</v>
      </c>
      <c r="AU34" s="17">
        <v>1315</v>
      </c>
      <c r="AV34" s="17">
        <v>1257</v>
      </c>
      <c r="AW34" s="17">
        <v>1005</v>
      </c>
      <c r="AX34" s="17">
        <v>757</v>
      </c>
      <c r="AY34" s="17">
        <v>584</v>
      </c>
      <c r="AZ34" s="17">
        <v>884</v>
      </c>
      <c r="BA34" s="40">
        <v>887</v>
      </c>
      <c r="BB34" s="17">
        <f>AVERAGE(AD34:BA34)</f>
        <v>687.5</v>
      </c>
      <c r="BC34" s="41">
        <f>_xlfn.STDEV.P(AD34:BB34)</f>
        <v>357.47134150865855</v>
      </c>
      <c r="BD34" s="17">
        <f>BA34-BB34</f>
        <v>199.5</v>
      </c>
      <c r="BE34" s="42">
        <f>BA34/BB34</f>
        <v>1.2901818181818181</v>
      </c>
      <c r="BF34" s="13">
        <v>0</v>
      </c>
      <c r="BG34" s="13">
        <v>13</v>
      </c>
      <c r="BH34" s="13">
        <v>78</v>
      </c>
      <c r="BI34" s="13">
        <v>1</v>
      </c>
      <c r="BJ34" s="13">
        <v>38</v>
      </c>
      <c r="BK34" s="13">
        <v>13</v>
      </c>
      <c r="BL34" s="13">
        <v>111</v>
      </c>
      <c r="BM34" s="13">
        <v>95</v>
      </c>
      <c r="BN34" s="13">
        <v>115</v>
      </c>
      <c r="BO34" s="13">
        <v>112</v>
      </c>
      <c r="BP34" s="13">
        <v>123</v>
      </c>
      <c r="BQ34" s="13">
        <v>38</v>
      </c>
      <c r="BR34" s="13">
        <v>326</v>
      </c>
      <c r="BS34" s="13">
        <v>336</v>
      </c>
      <c r="BT34" s="13">
        <v>108</v>
      </c>
      <c r="BU34" s="13">
        <v>230</v>
      </c>
      <c r="BV34" s="13">
        <v>39</v>
      </c>
      <c r="BW34" s="13">
        <v>291</v>
      </c>
      <c r="BX34" s="13">
        <v>61</v>
      </c>
      <c r="BY34" s="13">
        <v>53</v>
      </c>
      <c r="BZ34" s="13">
        <v>187</v>
      </c>
      <c r="CA34" s="13">
        <v>222</v>
      </c>
      <c r="CB34" s="13">
        <v>37</v>
      </c>
      <c r="CC34" s="13">
        <v>126</v>
      </c>
      <c r="CD34" s="13">
        <v>89</v>
      </c>
      <c r="CE34" s="14">
        <f>AVERAGE(BF34:CD34)</f>
        <v>113.68</v>
      </c>
      <c r="CF34" s="41">
        <f>_xlfn.STDEV.P(BF34:CD34)</f>
        <v>96.822195802408856</v>
      </c>
      <c r="CG34" s="17">
        <f>MAX(BF34:CD34)</f>
        <v>336</v>
      </c>
      <c r="CH34" s="17">
        <f>AVERAGE(CB34:CD34)</f>
        <v>84</v>
      </c>
      <c r="CI34" s="41">
        <f>_xlfn.STDEV.P(CB34:CD34)</f>
        <v>36.505707316345301</v>
      </c>
      <c r="CJ34" s="41">
        <f>MAX(BY34:CD34)</f>
        <v>222</v>
      </c>
      <c r="CL34" s="23">
        <f t="shared" si="6"/>
        <v>3.3005565862708721</v>
      </c>
      <c r="CM34" s="14">
        <f t="shared" si="7"/>
        <v>203</v>
      </c>
      <c r="CN34" s="43">
        <f>100*IF(CM34&gt;0,CM34,0)</f>
        <v>20300</v>
      </c>
      <c r="CO34" s="13">
        <f t="shared" si="8"/>
        <v>317</v>
      </c>
      <c r="CP34" s="43">
        <f>100*IF(CO34&gt;0,CO34,0)</f>
        <v>31700</v>
      </c>
      <c r="CQ34" s="13">
        <f>CE34+2*CF34</f>
        <v>307.32439160481772</v>
      </c>
      <c r="CR34" s="44">
        <f t="shared" si="9"/>
        <v>231.67560839518228</v>
      </c>
      <c r="CS34" s="43">
        <f>100*IF(CR34&gt;0,CR34,0)</f>
        <v>23167.560839518228</v>
      </c>
      <c r="CU34" s="23">
        <f>SUM(BS34:CD34)/(0.8*BA34)</f>
        <v>2.5070462232243518</v>
      </c>
      <c r="CV34" s="14">
        <f>(0.65*AVERAGE(AD34:BA34))-CG34</f>
        <v>110.875</v>
      </c>
      <c r="CW34" s="43">
        <f>20*IF(CV34&gt;0,CV34,0)</f>
        <v>2217.5</v>
      </c>
      <c r="CX34" s="13">
        <f>0.8*BA34-CJ34</f>
        <v>487.6</v>
      </c>
      <c r="CY34" s="43">
        <f>20*IF(CX34&gt;0,CX34,0)</f>
        <v>9752</v>
      </c>
      <c r="CZ34" s="13">
        <f>CE34+2*CF34</f>
        <v>307.32439160481772</v>
      </c>
      <c r="DA34" s="44">
        <f>0.8*BA34-CQ34</f>
        <v>402.2756083951823</v>
      </c>
      <c r="DB34" s="43">
        <f>20*IF(DA34&gt;0,DA34,0)</f>
        <v>8045.5121679036456</v>
      </c>
      <c r="DD34" s="23">
        <f t="shared" si="10"/>
        <v>1.3495675921711425</v>
      </c>
      <c r="DE34" s="57">
        <f t="shared" si="16"/>
        <v>71640</v>
      </c>
      <c r="DF34" s="14">
        <f t="shared" si="11"/>
        <v>982.2</v>
      </c>
      <c r="DG34" s="43">
        <f>20*IF(DF34&gt;0,DF34,0)</f>
        <v>19644</v>
      </c>
      <c r="DH34" s="13">
        <f t="shared" si="12"/>
        <v>1096.2</v>
      </c>
      <c r="DI34" s="43">
        <f>20*IF(DH34&gt;0,DH34,0)</f>
        <v>21924</v>
      </c>
      <c r="DJ34" s="13">
        <f>CH36+2*CI36</f>
        <v>40.471197037382019</v>
      </c>
      <c r="DK34" s="44">
        <f t="shared" si="13"/>
        <v>1277.7288029626179</v>
      </c>
      <c r="DL34" s="43">
        <f>20*IF(DK34&gt;0,DK34,0)</f>
        <v>25554.576059252358</v>
      </c>
      <c r="DN34" s="13">
        <v>0</v>
      </c>
      <c r="DO34" s="13">
        <f>(C34-B34)+(AE34-AD34)+BG34</f>
        <v>-69</v>
      </c>
      <c r="DP34" s="13">
        <f t="shared" si="17"/>
        <v>157</v>
      </c>
      <c r="DQ34" s="13">
        <f t="shared" si="18"/>
        <v>22</v>
      </c>
      <c r="DR34" s="13">
        <f t="shared" si="19"/>
        <v>3</v>
      </c>
      <c r="DS34" s="13">
        <f t="shared" si="20"/>
        <v>89</v>
      </c>
      <c r="DT34" s="13">
        <f t="shared" si="21"/>
        <v>7</v>
      </c>
      <c r="DU34" s="13">
        <f t="shared" si="22"/>
        <v>135</v>
      </c>
      <c r="DV34" s="13">
        <f t="shared" si="23"/>
        <v>444</v>
      </c>
      <c r="DW34" s="13">
        <f t="shared" si="24"/>
        <v>5</v>
      </c>
      <c r="DX34" s="13">
        <f t="shared" si="25"/>
        <v>24</v>
      </c>
      <c r="DY34" s="13">
        <f t="shared" si="26"/>
        <v>-132</v>
      </c>
      <c r="DZ34" s="13">
        <f t="shared" si="27"/>
        <v>1307</v>
      </c>
      <c r="EA34" s="13">
        <f t="shared" si="28"/>
        <v>227</v>
      </c>
      <c r="EB34" s="13">
        <f t="shared" si="29"/>
        <v>167</v>
      </c>
      <c r="EC34" s="13">
        <f t="shared" si="30"/>
        <v>201</v>
      </c>
      <c r="ED34" s="13">
        <f t="shared" si="31"/>
        <v>198</v>
      </c>
      <c r="EE34" s="13">
        <f t="shared" si="32"/>
        <v>393</v>
      </c>
      <c r="EF34" s="13">
        <f t="shared" si="33"/>
        <v>-11</v>
      </c>
      <c r="EG34" s="13">
        <f t="shared" si="34"/>
        <v>-102</v>
      </c>
      <c r="EH34" s="13">
        <f t="shared" si="35"/>
        <v>-30</v>
      </c>
      <c r="EI34" s="13">
        <f t="shared" si="36"/>
        <v>138</v>
      </c>
      <c r="EJ34" s="13">
        <f t="shared" si="37"/>
        <v>361</v>
      </c>
      <c r="EK34" s="13">
        <f t="shared" si="38"/>
        <v>130</v>
      </c>
      <c r="EL34" s="14">
        <f t="shared" si="15"/>
        <v>3664</v>
      </c>
    </row>
    <row r="35" spans="1:142" x14ac:dyDescent="0.2">
      <c r="A35" s="12">
        <v>49</v>
      </c>
      <c r="B35" s="13">
        <v>85</v>
      </c>
      <c r="C35" s="13">
        <v>82</v>
      </c>
      <c r="D35" s="13">
        <v>59</v>
      </c>
      <c r="E35" s="13">
        <v>84</v>
      </c>
      <c r="F35" s="13">
        <v>78</v>
      </c>
      <c r="G35" s="13">
        <v>93</v>
      </c>
      <c r="H35" s="13">
        <v>65</v>
      </c>
      <c r="I35" s="13">
        <v>67</v>
      </c>
      <c r="J35" s="13">
        <v>49</v>
      </c>
      <c r="K35" s="13">
        <v>36</v>
      </c>
      <c r="L35" s="13">
        <v>42</v>
      </c>
      <c r="M35" s="13">
        <v>29</v>
      </c>
      <c r="N35" s="13">
        <v>98</v>
      </c>
      <c r="O35" s="13">
        <v>87</v>
      </c>
      <c r="P35" s="13">
        <v>99</v>
      </c>
      <c r="Q35" s="13">
        <v>144</v>
      </c>
      <c r="R35" s="13">
        <v>158</v>
      </c>
      <c r="S35" s="13">
        <v>165</v>
      </c>
      <c r="T35" s="13">
        <v>149</v>
      </c>
      <c r="U35" s="13">
        <v>208</v>
      </c>
      <c r="V35" s="13">
        <v>236</v>
      </c>
      <c r="W35" s="13">
        <v>226</v>
      </c>
      <c r="X35" s="13">
        <v>254</v>
      </c>
      <c r="Y35" s="13">
        <v>240</v>
      </c>
      <c r="Z35" s="14">
        <f>AVERAGE(B35:Y35)</f>
        <v>118.04166666666667</v>
      </c>
      <c r="AA35" s="15">
        <f>_xlfn.STDEV.P(B35:Y35)</f>
        <v>68.942898574754523</v>
      </c>
      <c r="AB35" s="13">
        <f t="shared" si="4"/>
        <v>121.95833333333333</v>
      </c>
      <c r="AC35" s="19">
        <f t="shared" si="5"/>
        <v>2.0331803741616659</v>
      </c>
      <c r="AD35" s="14">
        <v>203</v>
      </c>
      <c r="AE35" s="17">
        <v>203</v>
      </c>
      <c r="AF35" s="17">
        <v>313</v>
      </c>
      <c r="AG35" s="17">
        <v>290</v>
      </c>
      <c r="AH35" s="17">
        <v>260</v>
      </c>
      <c r="AI35" s="17">
        <v>183</v>
      </c>
      <c r="AJ35" s="17">
        <v>262</v>
      </c>
      <c r="AK35" s="17">
        <v>269</v>
      </c>
      <c r="AL35" s="17">
        <v>264</v>
      </c>
      <c r="AM35" s="17">
        <v>264</v>
      </c>
      <c r="AN35" s="17">
        <v>247</v>
      </c>
      <c r="AO35" s="17">
        <v>394</v>
      </c>
      <c r="AP35" s="17">
        <v>647</v>
      </c>
      <c r="AQ35" s="17">
        <v>629</v>
      </c>
      <c r="AR35" s="17">
        <v>674</v>
      </c>
      <c r="AS35" s="17">
        <v>969</v>
      </c>
      <c r="AT35" s="17">
        <v>1040</v>
      </c>
      <c r="AU35" s="17">
        <v>1437</v>
      </c>
      <c r="AV35" s="17">
        <v>1218</v>
      </c>
      <c r="AW35" s="17">
        <v>1042</v>
      </c>
      <c r="AX35" s="17">
        <v>1098</v>
      </c>
      <c r="AY35" s="17">
        <v>1098</v>
      </c>
      <c r="AZ35" s="17">
        <v>1047</v>
      </c>
      <c r="BA35" s="40">
        <v>1059</v>
      </c>
      <c r="BB35" s="17">
        <f>AVERAGE(AD35:BA35)</f>
        <v>629.58333333333337</v>
      </c>
      <c r="BC35" s="41">
        <f>_xlfn.STDEV.P(AD35:BB35)</f>
        <v>395.04206527069152</v>
      </c>
      <c r="BD35" s="17">
        <f>BA35-BB35</f>
        <v>429.41666666666663</v>
      </c>
      <c r="BE35" s="42">
        <f>BA35/BB35</f>
        <v>1.6820648577101256</v>
      </c>
      <c r="BF35" s="13">
        <v>17</v>
      </c>
      <c r="BG35" s="13">
        <v>6</v>
      </c>
      <c r="BH35" s="13">
        <v>0</v>
      </c>
      <c r="BI35" s="13">
        <v>5</v>
      </c>
      <c r="BJ35" s="13">
        <v>26</v>
      </c>
      <c r="BK35" s="13">
        <v>1</v>
      </c>
      <c r="BL35" s="13">
        <v>27</v>
      </c>
      <c r="BM35" s="13">
        <v>20</v>
      </c>
      <c r="BN35" s="13">
        <v>41</v>
      </c>
      <c r="BO35" s="13">
        <v>24</v>
      </c>
      <c r="BP35" s="13">
        <v>14</v>
      </c>
      <c r="BQ35" s="13">
        <v>8</v>
      </c>
      <c r="BR35" s="13">
        <v>9</v>
      </c>
      <c r="BS35" s="13">
        <v>26</v>
      </c>
      <c r="BT35" s="13">
        <v>21</v>
      </c>
      <c r="BU35" s="13">
        <v>64</v>
      </c>
      <c r="BV35" s="13">
        <v>24</v>
      </c>
      <c r="BW35" s="13">
        <v>4</v>
      </c>
      <c r="BX35" s="13">
        <v>29</v>
      </c>
      <c r="BY35" s="13">
        <v>83</v>
      </c>
      <c r="BZ35" s="13">
        <v>43</v>
      </c>
      <c r="CA35" s="13">
        <v>31</v>
      </c>
      <c r="CB35" s="13">
        <v>7</v>
      </c>
      <c r="CC35" s="13">
        <v>30</v>
      </c>
      <c r="CD35" s="13">
        <v>0</v>
      </c>
      <c r="CE35" s="14">
        <f>AVERAGE(BF35:CD35)</f>
        <v>22.4</v>
      </c>
      <c r="CF35" s="41">
        <f>_xlfn.STDEV.P(BF35:CD35)</f>
        <v>19.497692171126307</v>
      </c>
      <c r="CG35" s="17">
        <f>MAX(BF35:CD35)</f>
        <v>83</v>
      </c>
      <c r="CH35" s="17">
        <f>AVERAGE(CB35:CD35)</f>
        <v>12.333333333333334</v>
      </c>
      <c r="CI35" s="41">
        <f>_xlfn.STDEV.P(CB35:CD35)</f>
        <v>12.814921857827391</v>
      </c>
      <c r="CJ35" s="41">
        <f>MAX(BY35:CD35)</f>
        <v>83</v>
      </c>
      <c r="CL35" s="23">
        <f t="shared" si="6"/>
        <v>1.5083333333333333</v>
      </c>
      <c r="CM35" s="14">
        <f t="shared" si="7"/>
        <v>157</v>
      </c>
      <c r="CN35" s="43">
        <f>100*IF(CM35&gt;0,CM35,0)</f>
        <v>15700</v>
      </c>
      <c r="CO35" s="13">
        <f t="shared" si="8"/>
        <v>157</v>
      </c>
      <c r="CP35" s="43">
        <f>100*IF(CO35&gt;0,CO35,0)</f>
        <v>15700</v>
      </c>
      <c r="CQ35" s="13">
        <f>CE35+2*CF35</f>
        <v>61.395384342252612</v>
      </c>
      <c r="CR35" s="44">
        <f t="shared" si="9"/>
        <v>178.60461565774739</v>
      </c>
      <c r="CS35" s="43">
        <f>100*IF(CR35&gt;0,CR35,0)</f>
        <v>17860.461565774738</v>
      </c>
      <c r="CU35" s="23">
        <f>SUM(BS35:CD35)/(0.8*BA35)</f>
        <v>0.427289896128423</v>
      </c>
      <c r="CV35" s="14">
        <f>(0.65*AVERAGE(AD35:BA35))-CG35</f>
        <v>326.22916666666669</v>
      </c>
      <c r="CW35" s="43">
        <f>20*IF(CV35&gt;0,CV35,0)</f>
        <v>6524.5833333333339</v>
      </c>
      <c r="CX35" s="13">
        <f>0.8*BA35-CJ35</f>
        <v>764.2</v>
      </c>
      <c r="CY35" s="43">
        <f>20*IF(CX35&gt;0,CX35,0)</f>
        <v>15284</v>
      </c>
      <c r="CZ35" s="13">
        <f>CE35+2*CF35</f>
        <v>61.395384342252612</v>
      </c>
      <c r="DA35" s="44">
        <f>0.8*BA35-CQ35</f>
        <v>785.80461565774749</v>
      </c>
      <c r="DB35" s="43">
        <f>20*IF(DA35&gt;0,DA35,0)</f>
        <v>15716.09231315495</v>
      </c>
      <c r="DD35" s="23">
        <f t="shared" si="10"/>
        <v>0.28936850519584334</v>
      </c>
      <c r="DE35" s="57">
        <f t="shared" si="16"/>
        <v>45180</v>
      </c>
      <c r="DF35" s="14">
        <f t="shared" si="11"/>
        <v>1168</v>
      </c>
      <c r="DG35" s="43">
        <f>20*IF(DF35&gt;0,DF35,0)</f>
        <v>23360</v>
      </c>
      <c r="DH35" s="13">
        <f t="shared" si="12"/>
        <v>1168</v>
      </c>
      <c r="DI35" s="43">
        <f>20*IF(DH35&gt;0,DH35,0)</f>
        <v>23360</v>
      </c>
      <c r="DJ35" s="13">
        <f>CH37+2*CI37</f>
        <v>521.77731453878994</v>
      </c>
      <c r="DK35" s="44">
        <f t="shared" si="13"/>
        <v>729.22268546121006</v>
      </c>
      <c r="DL35" s="43">
        <f>20*IF(DK35&gt;0,DK35,0)</f>
        <v>14584.453709224201</v>
      </c>
      <c r="DN35" s="13">
        <v>0</v>
      </c>
      <c r="DO35" s="13">
        <f>(C35-B35)+(AE35-AD35)+BG35</f>
        <v>3</v>
      </c>
      <c r="DP35" s="13">
        <f t="shared" si="17"/>
        <v>87</v>
      </c>
      <c r="DQ35" s="13">
        <f t="shared" si="18"/>
        <v>7</v>
      </c>
      <c r="DR35" s="13">
        <f t="shared" si="19"/>
        <v>-10</v>
      </c>
      <c r="DS35" s="13">
        <f t="shared" si="20"/>
        <v>-61</v>
      </c>
      <c r="DT35" s="13">
        <f t="shared" si="21"/>
        <v>78</v>
      </c>
      <c r="DU35" s="13">
        <f t="shared" si="22"/>
        <v>29</v>
      </c>
      <c r="DV35" s="13">
        <f t="shared" si="23"/>
        <v>18</v>
      </c>
      <c r="DW35" s="13">
        <f t="shared" si="24"/>
        <v>11</v>
      </c>
      <c r="DX35" s="13">
        <f t="shared" si="25"/>
        <v>3</v>
      </c>
      <c r="DY35" s="13">
        <f t="shared" si="26"/>
        <v>142</v>
      </c>
      <c r="DZ35" s="13">
        <f t="shared" si="27"/>
        <v>331</v>
      </c>
      <c r="EA35" s="13">
        <f t="shared" si="28"/>
        <v>-3</v>
      </c>
      <c r="EB35" s="13">
        <f t="shared" si="29"/>
        <v>78</v>
      </c>
      <c r="EC35" s="13">
        <f t="shared" si="30"/>
        <v>404</v>
      </c>
      <c r="ED35" s="13">
        <f t="shared" si="31"/>
        <v>109</v>
      </c>
      <c r="EE35" s="13">
        <f t="shared" si="32"/>
        <v>408</v>
      </c>
      <c r="EF35" s="13">
        <f t="shared" si="33"/>
        <v>-206</v>
      </c>
      <c r="EG35" s="13">
        <f t="shared" si="34"/>
        <v>-34</v>
      </c>
      <c r="EH35" s="13">
        <f t="shared" si="35"/>
        <v>127</v>
      </c>
      <c r="EI35" s="13">
        <f t="shared" si="36"/>
        <v>21</v>
      </c>
      <c r="EJ35" s="13">
        <f t="shared" si="37"/>
        <v>-16</v>
      </c>
      <c r="EK35" s="13">
        <f t="shared" si="38"/>
        <v>28</v>
      </c>
      <c r="EL35" s="14">
        <f t="shared" si="15"/>
        <v>1554</v>
      </c>
    </row>
    <row r="36" spans="1:142" x14ac:dyDescent="0.2">
      <c r="A36" s="12">
        <v>50</v>
      </c>
      <c r="B36" s="13">
        <v>159</v>
      </c>
      <c r="C36" s="13">
        <v>167</v>
      </c>
      <c r="D36" s="13">
        <v>109</v>
      </c>
      <c r="E36" s="13">
        <v>141</v>
      </c>
      <c r="F36" s="13">
        <v>154</v>
      </c>
      <c r="G36" s="13">
        <v>147</v>
      </c>
      <c r="H36" s="13">
        <v>148</v>
      </c>
      <c r="I36" s="13">
        <v>124</v>
      </c>
      <c r="J36" s="13">
        <v>108</v>
      </c>
      <c r="K36" s="13">
        <v>95</v>
      </c>
      <c r="L36" s="13">
        <v>93</v>
      </c>
      <c r="M36" s="13">
        <v>106</v>
      </c>
      <c r="N36" s="13">
        <v>109</v>
      </c>
      <c r="O36" s="13">
        <v>112</v>
      </c>
      <c r="P36" s="13">
        <v>131</v>
      </c>
      <c r="Q36" s="13">
        <v>123</v>
      </c>
      <c r="R36" s="13">
        <v>117</v>
      </c>
      <c r="S36" s="13">
        <v>109</v>
      </c>
      <c r="T36" s="13">
        <v>124</v>
      </c>
      <c r="U36" s="13">
        <v>111</v>
      </c>
      <c r="V36" s="13">
        <v>182</v>
      </c>
      <c r="W36" s="13">
        <v>140</v>
      </c>
      <c r="X36" s="13">
        <v>196</v>
      </c>
      <c r="Y36" s="13">
        <v>159</v>
      </c>
      <c r="Z36" s="14">
        <f>AVERAGE(B36:Y36)</f>
        <v>131.83333333333334</v>
      </c>
      <c r="AA36" s="15">
        <f>_xlfn.STDEV.P(B36:Y36)</f>
        <v>26.920665337658765</v>
      </c>
      <c r="AB36" s="13">
        <f t="shared" si="4"/>
        <v>27.166666666666657</v>
      </c>
      <c r="AC36" s="19">
        <f t="shared" si="5"/>
        <v>1.2060682680151706</v>
      </c>
      <c r="AD36" s="14">
        <v>61</v>
      </c>
      <c r="AE36" s="17">
        <v>57</v>
      </c>
      <c r="AF36" s="17">
        <v>57</v>
      </c>
      <c r="AG36" s="17">
        <v>65</v>
      </c>
      <c r="AH36" s="17">
        <v>146</v>
      </c>
      <c r="AI36" s="17">
        <v>146</v>
      </c>
      <c r="AJ36" s="17">
        <v>152</v>
      </c>
      <c r="AK36" s="17">
        <v>156</v>
      </c>
      <c r="AL36" s="17">
        <v>210</v>
      </c>
      <c r="AM36" s="17">
        <v>210</v>
      </c>
      <c r="AN36" s="17">
        <v>210</v>
      </c>
      <c r="AO36" s="17">
        <v>267</v>
      </c>
      <c r="AP36" s="17">
        <v>254</v>
      </c>
      <c r="AQ36" s="17">
        <v>281</v>
      </c>
      <c r="AR36" s="17">
        <v>388</v>
      </c>
      <c r="AS36" s="17">
        <v>435</v>
      </c>
      <c r="AT36" s="17">
        <v>437</v>
      </c>
      <c r="AU36" s="17">
        <v>499</v>
      </c>
      <c r="AV36" s="17">
        <v>402</v>
      </c>
      <c r="AW36" s="17">
        <v>337</v>
      </c>
      <c r="AX36" s="17">
        <v>291</v>
      </c>
      <c r="AY36" s="17">
        <v>212</v>
      </c>
      <c r="AZ36" s="17">
        <v>223</v>
      </c>
      <c r="BA36" s="40">
        <v>193</v>
      </c>
      <c r="BB36" s="17">
        <f>AVERAGE(AD36:BA36)</f>
        <v>237.04166666666666</v>
      </c>
      <c r="BC36" s="41">
        <f>_xlfn.STDEV.P(AD36:BB36)</f>
        <v>122.40375130417092</v>
      </c>
      <c r="BD36" s="17">
        <f>BA36-BB36</f>
        <v>-44.041666666666657</v>
      </c>
      <c r="BE36" s="42">
        <f>BA36/BB36</f>
        <v>0.81420284760063288</v>
      </c>
      <c r="BF36" s="13">
        <v>4</v>
      </c>
      <c r="BG36" s="13">
        <v>12</v>
      </c>
      <c r="BH36" s="13">
        <v>1</v>
      </c>
      <c r="BI36" s="13">
        <v>0</v>
      </c>
      <c r="BJ36" s="13">
        <v>27</v>
      </c>
      <c r="BK36" s="13">
        <v>10</v>
      </c>
      <c r="BL36" s="13">
        <v>7</v>
      </c>
      <c r="BM36" s="13">
        <v>0</v>
      </c>
      <c r="BN36" s="13">
        <v>25</v>
      </c>
      <c r="BO36" s="13">
        <v>1</v>
      </c>
      <c r="BP36" s="13">
        <v>5</v>
      </c>
      <c r="BQ36" s="13">
        <v>3</v>
      </c>
      <c r="BR36" s="13">
        <v>5</v>
      </c>
      <c r="BS36" s="13">
        <v>11</v>
      </c>
      <c r="BT36" s="13">
        <v>7</v>
      </c>
      <c r="BU36" s="13">
        <v>39</v>
      </c>
      <c r="BV36" s="13">
        <v>18</v>
      </c>
      <c r="BW36" s="13">
        <v>12</v>
      </c>
      <c r="BX36" s="13">
        <v>3</v>
      </c>
      <c r="BY36" s="13">
        <v>46</v>
      </c>
      <c r="BZ36" s="13">
        <v>13</v>
      </c>
      <c r="CA36" s="13">
        <v>62</v>
      </c>
      <c r="CB36" s="13">
        <v>7</v>
      </c>
      <c r="CC36" s="13">
        <v>32</v>
      </c>
      <c r="CD36" s="13">
        <v>0</v>
      </c>
      <c r="CE36" s="14">
        <f>AVERAGE(BF36:CD36)</f>
        <v>14</v>
      </c>
      <c r="CF36" s="41">
        <f>_xlfn.STDEV.P(BF36:CD36)</f>
        <v>15.7403938959608</v>
      </c>
      <c r="CG36" s="17">
        <f>MAX(BF36:CD36)</f>
        <v>62</v>
      </c>
      <c r="CH36" s="17">
        <f>AVERAGE(CB36:CD36)</f>
        <v>13</v>
      </c>
      <c r="CI36" s="41">
        <f>_xlfn.STDEV.P(CB36:CD36)</f>
        <v>13.73559851869101</v>
      </c>
      <c r="CJ36" s="41">
        <f>MAX(BY36:CD36)</f>
        <v>62</v>
      </c>
      <c r="CL36" s="23">
        <f t="shared" si="6"/>
        <v>1.5723270440251573</v>
      </c>
      <c r="CM36" s="14">
        <f t="shared" si="7"/>
        <v>97</v>
      </c>
      <c r="CN36" s="43">
        <f>100*IF(CM36&gt;0,CM36,0)</f>
        <v>9700</v>
      </c>
      <c r="CO36" s="13">
        <f t="shared" si="8"/>
        <v>97</v>
      </c>
      <c r="CP36" s="43">
        <f>100*IF(CO36&gt;0,CO36,0)</f>
        <v>9700</v>
      </c>
      <c r="CQ36" s="13">
        <f>CE36+2*CF36</f>
        <v>45.4807877919216</v>
      </c>
      <c r="CR36" s="44">
        <f t="shared" si="9"/>
        <v>113.5192122080784</v>
      </c>
      <c r="CS36" s="43">
        <f>100*IF(CR36&gt;0,CR36,0)</f>
        <v>11351.921220807841</v>
      </c>
      <c r="CU36" s="23">
        <f>SUM(BS36:CD36)/(0.8*BA36)</f>
        <v>1.6191709844559585</v>
      </c>
      <c r="CV36" s="14">
        <f>(0.65*AVERAGE(AD36:BA36))-CG36</f>
        <v>92.07708333333332</v>
      </c>
      <c r="CW36" s="43">
        <f>20*IF(CV36&gt;0,CV36,0)</f>
        <v>1841.5416666666665</v>
      </c>
      <c r="CX36" s="13">
        <f>0.8*BA36-CJ36</f>
        <v>92.4</v>
      </c>
      <c r="CY36" s="43">
        <f>20*IF(CX36&gt;0,CX36,0)</f>
        <v>1848</v>
      </c>
      <c r="CZ36" s="13">
        <f>CE36+2*CF36</f>
        <v>45.4807877919216</v>
      </c>
      <c r="DA36" s="44">
        <f>0.8*BA36-CQ36</f>
        <v>108.91921220807841</v>
      </c>
      <c r="DB36" s="43">
        <f>20*IF(DA36&gt;0,DA36,0)</f>
        <v>2178.3842441615679</v>
      </c>
      <c r="DD36" s="23">
        <f t="shared" si="10"/>
        <v>0.78076202373516557</v>
      </c>
      <c r="DE36" s="57">
        <f t="shared" si="16"/>
        <v>19760</v>
      </c>
      <c r="DF36" s="14">
        <f t="shared" si="11"/>
        <v>258.2</v>
      </c>
      <c r="DG36" s="43">
        <f>20*IF(DF36&gt;0,DF36,0)</f>
        <v>5164</v>
      </c>
      <c r="DH36" s="13">
        <f t="shared" si="12"/>
        <v>258.2</v>
      </c>
      <c r="DI36" s="43">
        <f>20*IF(DH36&gt;0,DH36,0)</f>
        <v>5164</v>
      </c>
      <c r="DJ36" s="13">
        <f>CH38+2*CI38</f>
        <v>179.26202273017742</v>
      </c>
      <c r="DK36" s="44">
        <f t="shared" si="13"/>
        <v>140.93797726982257</v>
      </c>
      <c r="DL36" s="43">
        <f>20*IF(DK36&gt;0,DK36,0)</f>
        <v>2818.7595453964514</v>
      </c>
      <c r="DN36" s="13">
        <v>0</v>
      </c>
      <c r="DO36" s="13">
        <f>(C36-B36)+(AE36-AD36)+BG36</f>
        <v>16</v>
      </c>
      <c r="DP36" s="13">
        <f t="shared" si="17"/>
        <v>-57</v>
      </c>
      <c r="DQ36" s="13">
        <f t="shared" si="18"/>
        <v>40</v>
      </c>
      <c r="DR36" s="13">
        <f t="shared" si="19"/>
        <v>121</v>
      </c>
      <c r="DS36" s="13">
        <f t="shared" si="20"/>
        <v>3</v>
      </c>
      <c r="DT36" s="13">
        <f t="shared" si="21"/>
        <v>14</v>
      </c>
      <c r="DU36" s="13">
        <f t="shared" si="22"/>
        <v>-20</v>
      </c>
      <c r="DV36" s="13">
        <f t="shared" si="23"/>
        <v>63</v>
      </c>
      <c r="DW36" s="13">
        <f t="shared" si="24"/>
        <v>-12</v>
      </c>
      <c r="DX36" s="13">
        <f t="shared" si="25"/>
        <v>3</v>
      </c>
      <c r="DY36" s="13">
        <f t="shared" si="26"/>
        <v>73</v>
      </c>
      <c r="DZ36" s="13">
        <f t="shared" si="27"/>
        <v>-5</v>
      </c>
      <c r="EA36" s="13">
        <f t="shared" si="28"/>
        <v>41</v>
      </c>
      <c r="EB36" s="13">
        <f t="shared" si="29"/>
        <v>133</v>
      </c>
      <c r="EC36" s="13">
        <f t="shared" si="30"/>
        <v>78</v>
      </c>
      <c r="ED36" s="13">
        <f t="shared" si="31"/>
        <v>14</v>
      </c>
      <c r="EE36" s="13">
        <f t="shared" si="32"/>
        <v>66</v>
      </c>
      <c r="EF36" s="13">
        <f t="shared" si="33"/>
        <v>-79</v>
      </c>
      <c r="EG36" s="13">
        <f t="shared" si="34"/>
        <v>-32</v>
      </c>
      <c r="EH36" s="13">
        <f t="shared" si="35"/>
        <v>38</v>
      </c>
      <c r="EI36" s="13">
        <f t="shared" si="36"/>
        <v>-59</v>
      </c>
      <c r="EJ36" s="13">
        <f t="shared" si="37"/>
        <v>74</v>
      </c>
      <c r="EK36" s="13">
        <f t="shared" si="38"/>
        <v>-35</v>
      </c>
      <c r="EL36" s="14">
        <f t="shared" si="15"/>
        <v>478</v>
      </c>
    </row>
    <row r="37" spans="1:142" x14ac:dyDescent="0.2">
      <c r="A37" s="12">
        <v>51</v>
      </c>
      <c r="B37" s="13">
        <v>166</v>
      </c>
      <c r="C37" s="13">
        <v>164</v>
      </c>
      <c r="D37" s="13">
        <v>123</v>
      </c>
      <c r="E37" s="13">
        <v>159</v>
      </c>
      <c r="F37" s="13">
        <v>161</v>
      </c>
      <c r="G37" s="13">
        <v>152</v>
      </c>
      <c r="H37" s="13">
        <v>90</v>
      </c>
      <c r="I37" s="13">
        <v>162</v>
      </c>
      <c r="J37" s="13">
        <v>153</v>
      </c>
      <c r="K37" s="13">
        <v>127</v>
      </c>
      <c r="L37" s="13">
        <v>149</v>
      </c>
      <c r="M37" s="13">
        <v>220</v>
      </c>
      <c r="N37" s="13">
        <v>216</v>
      </c>
      <c r="O37" s="13">
        <v>206</v>
      </c>
      <c r="P37" s="13">
        <v>214</v>
      </c>
      <c r="Q37" s="13">
        <v>141</v>
      </c>
      <c r="R37" s="13">
        <v>214</v>
      </c>
      <c r="S37" s="13">
        <v>173</v>
      </c>
      <c r="T37" s="13">
        <v>201</v>
      </c>
      <c r="U37" s="13">
        <v>398</v>
      </c>
      <c r="V37" s="13">
        <v>462</v>
      </c>
      <c r="W37" s="13">
        <v>373</v>
      </c>
      <c r="X37" s="13">
        <v>592</v>
      </c>
      <c r="Y37" s="13">
        <v>360</v>
      </c>
      <c r="Z37" s="14">
        <f>AVERAGE(B37:Y37)</f>
        <v>224</v>
      </c>
      <c r="AA37" s="15">
        <f>_xlfn.STDEV.P(B37:Y37)</f>
        <v>120.08365139906986</v>
      </c>
      <c r="AB37" s="13">
        <f t="shared" si="4"/>
        <v>136</v>
      </c>
      <c r="AC37" s="19">
        <f t="shared" si="5"/>
        <v>1.6071428571428572</v>
      </c>
      <c r="AD37" s="14">
        <v>387</v>
      </c>
      <c r="AE37" s="17">
        <v>389</v>
      </c>
      <c r="AF37" s="17">
        <v>389</v>
      </c>
      <c r="AG37" s="17">
        <v>638</v>
      </c>
      <c r="AH37" s="17">
        <v>785</v>
      </c>
      <c r="AI37" s="17">
        <v>818</v>
      </c>
      <c r="AJ37" s="17">
        <v>1008</v>
      </c>
      <c r="AK37" s="17">
        <v>948</v>
      </c>
      <c r="AL37" s="17">
        <v>742</v>
      </c>
      <c r="AM37" s="17">
        <v>738</v>
      </c>
      <c r="AN37" s="17">
        <v>743</v>
      </c>
      <c r="AO37" s="17">
        <v>1422</v>
      </c>
      <c r="AP37" s="17">
        <v>1695</v>
      </c>
      <c r="AQ37" s="17">
        <v>1836</v>
      </c>
      <c r="AR37" s="17">
        <v>2367</v>
      </c>
      <c r="AS37" s="17">
        <v>2519</v>
      </c>
      <c r="AT37" s="17">
        <v>2424</v>
      </c>
      <c r="AU37" s="17">
        <v>2010</v>
      </c>
      <c r="AV37" s="17">
        <v>1727</v>
      </c>
      <c r="AW37" s="17">
        <v>786</v>
      </c>
      <c r="AX37" s="17">
        <v>1367</v>
      </c>
      <c r="AY37" s="17">
        <v>1003</v>
      </c>
      <c r="AZ37" s="17">
        <v>568</v>
      </c>
      <c r="BA37" s="40">
        <v>680</v>
      </c>
      <c r="BB37" s="17">
        <f>AVERAGE(AD37:BA37)</f>
        <v>1166.2083333333333</v>
      </c>
      <c r="BC37" s="41">
        <f>_xlfn.STDEV.P(AD37:BB37)</f>
        <v>646.70865026944989</v>
      </c>
      <c r="BD37" s="17">
        <f>BA37-BB37</f>
        <v>-486.20833333333326</v>
      </c>
      <c r="BE37" s="42">
        <f>BA37/BB37</f>
        <v>0.58308621244060166</v>
      </c>
      <c r="BF37" s="13">
        <v>23</v>
      </c>
      <c r="BG37" s="13">
        <v>21</v>
      </c>
      <c r="BH37" s="13">
        <v>0</v>
      </c>
      <c r="BI37" s="13">
        <v>4</v>
      </c>
      <c r="BJ37" s="13">
        <v>12</v>
      </c>
      <c r="BK37" s="13">
        <v>34</v>
      </c>
      <c r="BL37" s="13">
        <v>49</v>
      </c>
      <c r="BM37" s="13">
        <v>95</v>
      </c>
      <c r="BN37" s="13">
        <v>77</v>
      </c>
      <c r="BO37" s="13">
        <v>72</v>
      </c>
      <c r="BP37" s="13">
        <v>4</v>
      </c>
      <c r="BQ37" s="13">
        <v>3</v>
      </c>
      <c r="BR37" s="13">
        <v>16</v>
      </c>
      <c r="BS37" s="13">
        <v>18</v>
      </c>
      <c r="BT37" s="13">
        <v>92</v>
      </c>
      <c r="BU37" s="13">
        <v>62</v>
      </c>
      <c r="BV37" s="13">
        <v>129</v>
      </c>
      <c r="BW37" s="13">
        <v>99</v>
      </c>
      <c r="BX37" s="13">
        <v>213</v>
      </c>
      <c r="BY37" s="13">
        <v>125</v>
      </c>
      <c r="BZ37" s="13">
        <v>113</v>
      </c>
      <c r="CA37" s="13">
        <v>275</v>
      </c>
      <c r="CB37" s="13">
        <v>31</v>
      </c>
      <c r="CC37" s="13">
        <v>412</v>
      </c>
      <c r="CD37" s="13">
        <v>3</v>
      </c>
      <c r="CE37" s="14">
        <f>AVERAGE(BF37:CD37)</f>
        <v>79.28</v>
      </c>
      <c r="CF37" s="41">
        <f>_xlfn.STDEV.P(BF37:CD37)</f>
        <v>95.320310532435855</v>
      </c>
      <c r="CG37" s="17">
        <f>MAX(BF37:CD37)</f>
        <v>412</v>
      </c>
      <c r="CH37" s="17">
        <f>AVERAGE(CB37:CD37)</f>
        <v>148.66666666666666</v>
      </c>
      <c r="CI37" s="41">
        <f>_xlfn.STDEV.P(CB37:CD37)</f>
        <v>186.55532393606163</v>
      </c>
      <c r="CJ37" s="41">
        <f>MAX(BY37:CD37)</f>
        <v>412</v>
      </c>
      <c r="CL37" s="23">
        <f t="shared" si="6"/>
        <v>4.3666666666666663</v>
      </c>
      <c r="CM37" s="14">
        <f t="shared" si="7"/>
        <v>-52</v>
      </c>
      <c r="CN37" s="43">
        <f>100*IF(CM37&gt;0,CM37,0)</f>
        <v>0</v>
      </c>
      <c r="CO37" s="13">
        <f t="shared" si="8"/>
        <v>-52</v>
      </c>
      <c r="CP37" s="43">
        <f>100*IF(CO37&gt;0,CO37,0)</f>
        <v>0</v>
      </c>
      <c r="CQ37" s="13">
        <f>CE37+2*CF37</f>
        <v>269.92062106487174</v>
      </c>
      <c r="CR37" s="44">
        <f t="shared" si="9"/>
        <v>90.079378935128261</v>
      </c>
      <c r="CS37" s="43">
        <f>100*IF(CR37&gt;0,CR37,0)</f>
        <v>9007.9378935128261</v>
      </c>
      <c r="CU37" s="23">
        <f>SUM(BS37:CD37)/(0.8*BA37)</f>
        <v>2.8897058823529411</v>
      </c>
      <c r="CV37" s="14">
        <f>(0.65*AVERAGE(AD37:BA37))-CG37</f>
        <v>346.03541666666661</v>
      </c>
      <c r="CW37" s="43">
        <f>20*IF(CV37&gt;0,CV37,0)</f>
        <v>6920.7083333333321</v>
      </c>
      <c r="CX37" s="13">
        <f>0.8*BA37-CJ37</f>
        <v>132</v>
      </c>
      <c r="CY37" s="43">
        <f>20*IF(CX37&gt;0,CX37,0)</f>
        <v>2640</v>
      </c>
      <c r="CZ37" s="13">
        <f>CE37+2*CF37</f>
        <v>269.92062106487174</v>
      </c>
      <c r="DA37" s="44">
        <f>0.8*BA37-CQ37</f>
        <v>274.07937893512826</v>
      </c>
      <c r="DB37" s="43">
        <f>20*IF(DA37&gt;0,DA37,0)</f>
        <v>5481.5875787025652</v>
      </c>
      <c r="DD37" s="23">
        <f t="shared" si="10"/>
        <v>1.6239669421487604</v>
      </c>
      <c r="DE37" s="57">
        <f t="shared" si="16"/>
        <v>49600</v>
      </c>
      <c r="DF37" s="14">
        <f t="shared" si="11"/>
        <v>556</v>
      </c>
      <c r="DG37" s="43">
        <f>20*IF(DF37&gt;0,DF37,0)</f>
        <v>11120</v>
      </c>
      <c r="DH37" s="13">
        <f t="shared" si="12"/>
        <v>556</v>
      </c>
      <c r="DI37" s="43">
        <f>20*IF(DH37&gt;0,DH37,0)</f>
        <v>11120</v>
      </c>
      <c r="DJ37" s="13">
        <f>CH39+2*CI39</f>
        <v>99.920913838841955</v>
      </c>
      <c r="DK37" s="44">
        <f t="shared" si="13"/>
        <v>868.0790861611581</v>
      </c>
      <c r="DL37" s="43">
        <f>20*IF(DK37&gt;0,DK37,0)</f>
        <v>17361.581723223164</v>
      </c>
      <c r="DN37" s="13">
        <v>0</v>
      </c>
      <c r="DO37" s="13">
        <f>(C37-B37)+(AE37-AD37)+BG37</f>
        <v>21</v>
      </c>
      <c r="DP37" s="13">
        <f t="shared" si="17"/>
        <v>-41</v>
      </c>
      <c r="DQ37" s="13">
        <f t="shared" si="18"/>
        <v>289</v>
      </c>
      <c r="DR37" s="13">
        <f t="shared" si="19"/>
        <v>161</v>
      </c>
      <c r="DS37" s="13">
        <f t="shared" si="20"/>
        <v>58</v>
      </c>
      <c r="DT37" s="13">
        <f t="shared" si="21"/>
        <v>177</v>
      </c>
      <c r="DU37" s="13">
        <f t="shared" si="22"/>
        <v>107</v>
      </c>
      <c r="DV37" s="13">
        <f t="shared" si="23"/>
        <v>-138</v>
      </c>
      <c r="DW37" s="13">
        <f t="shared" si="24"/>
        <v>42</v>
      </c>
      <c r="DX37" s="13">
        <f t="shared" si="25"/>
        <v>31</v>
      </c>
      <c r="DY37" s="13">
        <f t="shared" si="26"/>
        <v>753</v>
      </c>
      <c r="DZ37" s="13">
        <f t="shared" si="27"/>
        <v>285</v>
      </c>
      <c r="EA37" s="13">
        <f t="shared" si="28"/>
        <v>149</v>
      </c>
      <c r="EB37" s="13">
        <f t="shared" si="29"/>
        <v>631</v>
      </c>
      <c r="EC37" s="13">
        <f t="shared" si="30"/>
        <v>141</v>
      </c>
      <c r="ED37" s="13">
        <f t="shared" si="31"/>
        <v>107</v>
      </c>
      <c r="EE37" s="13">
        <f t="shared" si="32"/>
        <v>-356</v>
      </c>
      <c r="EF37" s="13">
        <f t="shared" si="33"/>
        <v>-42</v>
      </c>
      <c r="EG37" s="13">
        <f t="shared" si="34"/>
        <v>-619</v>
      </c>
      <c r="EH37" s="13">
        <f t="shared" si="35"/>
        <v>758</v>
      </c>
      <c r="EI37" s="13">
        <f t="shared" si="36"/>
        <v>-178</v>
      </c>
      <c r="EJ37" s="13">
        <f t="shared" si="37"/>
        <v>-185</v>
      </c>
      <c r="EK37" s="13">
        <f t="shared" si="38"/>
        <v>292</v>
      </c>
      <c r="EL37" s="14">
        <f t="shared" si="15"/>
        <v>2443</v>
      </c>
    </row>
    <row r="38" spans="1:142" x14ac:dyDescent="0.2">
      <c r="A38" s="12">
        <v>52</v>
      </c>
      <c r="B38" s="13">
        <v>306</v>
      </c>
      <c r="C38" s="13">
        <v>246</v>
      </c>
      <c r="D38" s="13">
        <v>226</v>
      </c>
      <c r="E38" s="13">
        <v>242</v>
      </c>
      <c r="F38" s="13">
        <v>236</v>
      </c>
      <c r="G38" s="13">
        <v>415</v>
      </c>
      <c r="H38" s="13">
        <v>204</v>
      </c>
      <c r="I38" s="13">
        <v>203</v>
      </c>
      <c r="J38" s="13">
        <v>352</v>
      </c>
      <c r="K38" s="13">
        <v>329</v>
      </c>
      <c r="L38" s="13">
        <v>314</v>
      </c>
      <c r="M38" s="13">
        <v>568</v>
      </c>
      <c r="N38" s="13">
        <v>444</v>
      </c>
      <c r="O38" s="13">
        <v>611</v>
      </c>
      <c r="P38" s="13">
        <v>427</v>
      </c>
      <c r="Q38" s="13">
        <v>516</v>
      </c>
      <c r="R38" s="13">
        <v>651</v>
      </c>
      <c r="S38" s="13">
        <v>545</v>
      </c>
      <c r="T38" s="13">
        <v>494</v>
      </c>
      <c r="U38" s="13">
        <v>552</v>
      </c>
      <c r="V38" s="13">
        <v>563</v>
      </c>
      <c r="W38" s="13">
        <v>563</v>
      </c>
      <c r="X38" s="13">
        <v>679</v>
      </c>
      <c r="Y38" s="13">
        <v>587</v>
      </c>
      <c r="Z38" s="14">
        <f>AVERAGE(B38:Y38)</f>
        <v>428.04166666666669</v>
      </c>
      <c r="AA38" s="15">
        <f>_xlfn.STDEV.P(B38:Y38)</f>
        <v>152.58699135429453</v>
      </c>
      <c r="AB38" s="13">
        <f t="shared" si="4"/>
        <v>158.95833333333331</v>
      </c>
      <c r="AC38" s="19">
        <f t="shared" si="5"/>
        <v>1.3713618222525066</v>
      </c>
      <c r="AD38" s="14">
        <v>439</v>
      </c>
      <c r="AE38" s="17">
        <v>438</v>
      </c>
      <c r="AF38" s="17">
        <v>457</v>
      </c>
      <c r="AG38" s="17">
        <v>465</v>
      </c>
      <c r="AH38" s="17">
        <v>716</v>
      </c>
      <c r="AI38" s="17">
        <v>626</v>
      </c>
      <c r="AJ38" s="17">
        <v>835</v>
      </c>
      <c r="AK38" s="17">
        <v>305</v>
      </c>
      <c r="AL38" s="17">
        <v>1473</v>
      </c>
      <c r="AM38" s="17">
        <v>1320</v>
      </c>
      <c r="AN38" s="17">
        <v>1003</v>
      </c>
      <c r="AO38" s="17">
        <v>1026</v>
      </c>
      <c r="AP38" s="17">
        <v>1538</v>
      </c>
      <c r="AQ38" s="17">
        <v>1627</v>
      </c>
      <c r="AR38" s="17">
        <v>2262</v>
      </c>
      <c r="AS38" s="17">
        <v>2485</v>
      </c>
      <c r="AT38" s="17">
        <v>2374</v>
      </c>
      <c r="AU38" s="17">
        <v>2405</v>
      </c>
      <c r="AV38" s="17">
        <v>2294</v>
      </c>
      <c r="AW38" s="17">
        <v>1169</v>
      </c>
      <c r="AX38" s="17">
        <v>1788</v>
      </c>
      <c r="AY38" s="17">
        <v>1693</v>
      </c>
      <c r="AZ38" s="17">
        <v>1671</v>
      </c>
      <c r="BA38" s="40">
        <v>2167</v>
      </c>
      <c r="BB38" s="17">
        <f>AVERAGE(AD38:BA38)</f>
        <v>1357.3333333333333</v>
      </c>
      <c r="BC38" s="41">
        <f>_xlfn.STDEV.P(AD38:BB38)</f>
        <v>697.52153610718949</v>
      </c>
      <c r="BD38" s="17">
        <f>BA38-BB38</f>
        <v>809.66666666666674</v>
      </c>
      <c r="BE38" s="42">
        <f>BA38/BB38</f>
        <v>1.5965127701375246</v>
      </c>
      <c r="BF38" s="13">
        <v>15</v>
      </c>
      <c r="BG38" s="13">
        <v>119</v>
      </c>
      <c r="BH38" s="13">
        <v>39</v>
      </c>
      <c r="BI38" s="13">
        <v>5</v>
      </c>
      <c r="BJ38" s="13">
        <v>68</v>
      </c>
      <c r="BK38" s="13">
        <v>261</v>
      </c>
      <c r="BL38" s="13">
        <v>348</v>
      </c>
      <c r="BM38" s="13">
        <v>270</v>
      </c>
      <c r="BN38" s="13">
        <v>325</v>
      </c>
      <c r="BO38" s="13">
        <v>455</v>
      </c>
      <c r="BP38" s="13">
        <v>140</v>
      </c>
      <c r="BQ38" s="13">
        <v>402</v>
      </c>
      <c r="BR38" s="13">
        <v>904</v>
      </c>
      <c r="BS38" s="13">
        <v>73</v>
      </c>
      <c r="BT38" s="13">
        <v>329</v>
      </c>
      <c r="BU38" s="13">
        <v>181</v>
      </c>
      <c r="BV38" s="13">
        <v>272</v>
      </c>
      <c r="BW38" s="13">
        <v>160</v>
      </c>
      <c r="BX38" s="13">
        <v>67</v>
      </c>
      <c r="BY38" s="13">
        <v>107</v>
      </c>
      <c r="BZ38" s="13">
        <v>165</v>
      </c>
      <c r="CA38" s="13">
        <v>238</v>
      </c>
      <c r="CB38" s="13">
        <v>61</v>
      </c>
      <c r="CC38" s="13">
        <v>138</v>
      </c>
      <c r="CD38" s="13">
        <v>0</v>
      </c>
      <c r="CE38" s="14">
        <f>AVERAGE(BF38:CD38)</f>
        <v>205.68</v>
      </c>
      <c r="CF38" s="41">
        <f>_xlfn.STDEV.P(BF38:CD38)</f>
        <v>190.22422979210614</v>
      </c>
      <c r="CG38" s="17">
        <f>MAX(BF38:CD38)</f>
        <v>904</v>
      </c>
      <c r="CH38" s="17">
        <f>AVERAGE(CB38:CD38)</f>
        <v>66.333333333333329</v>
      </c>
      <c r="CI38" s="41">
        <f>_xlfn.STDEV.P(CB38:CD38)</f>
        <v>56.464344698422046</v>
      </c>
      <c r="CJ38" s="41">
        <f>MAX(BY38:CD38)</f>
        <v>238</v>
      </c>
      <c r="CL38" s="23">
        <f t="shared" si="6"/>
        <v>3.0511073253833048</v>
      </c>
      <c r="CM38" s="14">
        <f t="shared" si="7"/>
        <v>-317</v>
      </c>
      <c r="CN38" s="43">
        <f>100*IF(CM38&gt;0,CM38,0)</f>
        <v>0</v>
      </c>
      <c r="CO38" s="13">
        <f t="shared" si="8"/>
        <v>349</v>
      </c>
      <c r="CP38" s="43">
        <f>100*IF(CO38&gt;0,CO38,0)</f>
        <v>34900</v>
      </c>
      <c r="CQ38" s="13">
        <f>CE38+2*CF38</f>
        <v>586.12845958421235</v>
      </c>
      <c r="CR38" s="44">
        <f t="shared" si="9"/>
        <v>0.87154041578764918</v>
      </c>
      <c r="CS38" s="43">
        <f>100*IF(CR38&gt;0,CR38,0)</f>
        <v>87.154041578764918</v>
      </c>
      <c r="CU38" s="23">
        <f>SUM(BS38:CD38)/(0.8*BA38)</f>
        <v>1.0331102907245038</v>
      </c>
      <c r="CV38" s="14">
        <f>(0.65*AVERAGE(AD38:BA38))-CG38</f>
        <v>-21.733333333333348</v>
      </c>
      <c r="CW38" s="43">
        <f>20*IF(CV38&gt;0,CV38,0)</f>
        <v>0</v>
      </c>
      <c r="CX38" s="13">
        <f>0.8*BA38-CJ38</f>
        <v>1495.6000000000001</v>
      </c>
      <c r="CY38" s="43">
        <f>20*IF(CX38&gt;0,CX38,0)</f>
        <v>29912.000000000004</v>
      </c>
      <c r="CZ38" s="13">
        <f>CE38+2*CF38</f>
        <v>586.12845958421235</v>
      </c>
      <c r="DA38" s="44">
        <f>0.8*BA38-CQ38</f>
        <v>1147.4715404157878</v>
      </c>
      <c r="DB38" s="43">
        <f>20*IF(DA38&gt;0,DA38,0)</f>
        <v>22949.430808315756</v>
      </c>
      <c r="DD38" s="23">
        <f t="shared" si="10"/>
        <v>0.67928392626867939</v>
      </c>
      <c r="DE38" s="57">
        <f t="shared" si="16"/>
        <v>102040</v>
      </c>
      <c r="DF38" s="14">
        <f t="shared" si="11"/>
        <v>1732.6</v>
      </c>
      <c r="DG38" s="43">
        <f>20*IF(DF38&gt;0,DF38,0)</f>
        <v>34652</v>
      </c>
      <c r="DH38" s="13">
        <f t="shared" si="12"/>
        <v>2398.6</v>
      </c>
      <c r="DI38" s="43">
        <f>20*IF(DH38&gt;0,DH38,0)</f>
        <v>47972</v>
      </c>
      <c r="DJ38" s="13">
        <f>CH40+2*CI40</f>
        <v>411.64595012651239</v>
      </c>
      <c r="DK38" s="44">
        <f t="shared" si="13"/>
        <v>2224.9540498734877</v>
      </c>
      <c r="DL38" s="43">
        <f>20*IF(DK38&gt;0,DK38,0)</f>
        <v>44499.080997469755</v>
      </c>
      <c r="DN38" s="13">
        <v>0</v>
      </c>
      <c r="DO38" s="13">
        <f>(C38-B38)+(AE38-AD38)+BG38</f>
        <v>58</v>
      </c>
      <c r="DP38" s="13">
        <f t="shared" si="17"/>
        <v>38</v>
      </c>
      <c r="DQ38" s="13">
        <f t="shared" si="18"/>
        <v>29</v>
      </c>
      <c r="DR38" s="13">
        <f t="shared" si="19"/>
        <v>313</v>
      </c>
      <c r="DS38" s="13">
        <f t="shared" si="20"/>
        <v>350</v>
      </c>
      <c r="DT38" s="13">
        <f t="shared" si="21"/>
        <v>346</v>
      </c>
      <c r="DU38" s="13">
        <f t="shared" si="22"/>
        <v>-261</v>
      </c>
      <c r="DV38" s="13">
        <f t="shared" si="23"/>
        <v>1642</v>
      </c>
      <c r="DW38" s="13">
        <f t="shared" si="24"/>
        <v>279</v>
      </c>
      <c r="DX38" s="13">
        <f t="shared" si="25"/>
        <v>-192</v>
      </c>
      <c r="DY38" s="13">
        <f t="shared" si="26"/>
        <v>679</v>
      </c>
      <c r="DZ38" s="13">
        <f t="shared" si="27"/>
        <v>1292</v>
      </c>
      <c r="EA38" s="13">
        <f t="shared" si="28"/>
        <v>329</v>
      </c>
      <c r="EB38" s="13">
        <f t="shared" si="29"/>
        <v>780</v>
      </c>
      <c r="EC38" s="13">
        <f t="shared" si="30"/>
        <v>493</v>
      </c>
      <c r="ED38" s="13">
        <f t="shared" si="31"/>
        <v>296</v>
      </c>
      <c r="EE38" s="13">
        <f t="shared" si="32"/>
        <v>85</v>
      </c>
      <c r="EF38" s="13">
        <f t="shared" si="33"/>
        <v>-95</v>
      </c>
      <c r="EG38" s="13">
        <f t="shared" si="34"/>
        <v>-960</v>
      </c>
      <c r="EH38" s="13">
        <f t="shared" si="35"/>
        <v>795</v>
      </c>
      <c r="EI38" s="13">
        <f t="shared" si="36"/>
        <v>143</v>
      </c>
      <c r="EJ38" s="13">
        <f t="shared" si="37"/>
        <v>155</v>
      </c>
      <c r="EK38" s="13">
        <f t="shared" si="38"/>
        <v>542</v>
      </c>
      <c r="EL38" s="14">
        <f t="shared" si="15"/>
        <v>7136</v>
      </c>
    </row>
    <row r="39" spans="1:142" x14ac:dyDescent="0.2">
      <c r="A39" s="12">
        <v>53</v>
      </c>
      <c r="B39" s="13">
        <v>200</v>
      </c>
      <c r="C39" s="13">
        <v>257</v>
      </c>
      <c r="D39" s="13">
        <v>265</v>
      </c>
      <c r="E39" s="13">
        <v>264</v>
      </c>
      <c r="F39" s="13">
        <v>268</v>
      </c>
      <c r="G39" s="13">
        <v>214</v>
      </c>
      <c r="H39" s="13">
        <v>260</v>
      </c>
      <c r="I39" s="13">
        <v>240</v>
      </c>
      <c r="J39" s="13">
        <v>168</v>
      </c>
      <c r="K39" s="13">
        <v>191</v>
      </c>
      <c r="L39" s="13">
        <v>219</v>
      </c>
      <c r="M39" s="13">
        <v>305</v>
      </c>
      <c r="N39" s="13">
        <v>329</v>
      </c>
      <c r="O39" s="13">
        <v>318</v>
      </c>
      <c r="P39" s="13">
        <v>338</v>
      </c>
      <c r="Q39" s="13">
        <v>350</v>
      </c>
      <c r="R39" s="13">
        <v>465</v>
      </c>
      <c r="S39" s="13">
        <v>527</v>
      </c>
      <c r="T39" s="13">
        <v>531</v>
      </c>
      <c r="U39" s="13">
        <v>540</v>
      </c>
      <c r="V39" s="13">
        <v>570</v>
      </c>
      <c r="W39" s="13">
        <v>576</v>
      </c>
      <c r="X39" s="13">
        <v>518</v>
      </c>
      <c r="Y39" s="13">
        <v>488</v>
      </c>
      <c r="Z39" s="14">
        <f>AVERAGE(B39:Y39)</f>
        <v>350.04166666666669</v>
      </c>
      <c r="AA39" s="15">
        <f>_xlfn.STDEV.P(B39:Y39)</f>
        <v>133.93856774863451</v>
      </c>
      <c r="AB39" s="13">
        <f t="shared" si="4"/>
        <v>137.95833333333331</v>
      </c>
      <c r="AC39" s="19">
        <f t="shared" si="5"/>
        <v>1.3941197476490894</v>
      </c>
      <c r="AD39" s="14">
        <v>712</v>
      </c>
      <c r="AE39" s="17">
        <v>800</v>
      </c>
      <c r="AF39" s="17">
        <v>853</v>
      </c>
      <c r="AG39" s="17">
        <v>853</v>
      </c>
      <c r="AH39" s="17">
        <v>871</v>
      </c>
      <c r="AI39" s="17">
        <v>903</v>
      </c>
      <c r="AJ39" s="17">
        <v>1027</v>
      </c>
      <c r="AK39" s="17">
        <v>1026</v>
      </c>
      <c r="AL39" s="17">
        <v>853</v>
      </c>
      <c r="AM39" s="17">
        <v>865</v>
      </c>
      <c r="AN39" s="17">
        <v>896</v>
      </c>
      <c r="AO39" s="17">
        <v>863</v>
      </c>
      <c r="AP39" s="17">
        <v>798</v>
      </c>
      <c r="AQ39" s="17">
        <v>1378</v>
      </c>
      <c r="AR39" s="17">
        <v>1562</v>
      </c>
      <c r="AS39" s="17">
        <v>1926</v>
      </c>
      <c r="AT39" s="17">
        <v>1943</v>
      </c>
      <c r="AU39" s="17">
        <v>1711</v>
      </c>
      <c r="AV39" s="17">
        <v>1977</v>
      </c>
      <c r="AW39" s="17">
        <v>1826</v>
      </c>
      <c r="AX39" s="17">
        <v>2026</v>
      </c>
      <c r="AY39" s="17">
        <v>2156</v>
      </c>
      <c r="AZ39" s="17">
        <v>1965</v>
      </c>
      <c r="BA39" s="40">
        <v>2420</v>
      </c>
      <c r="BB39" s="17">
        <f>AVERAGE(AD39:BA39)</f>
        <v>1342.0833333333333</v>
      </c>
      <c r="BC39" s="41">
        <f>_xlfn.STDEV.P(AD39:BB39)</f>
        <v>535.90117870119786</v>
      </c>
      <c r="BD39" s="17">
        <f>BA39-BB39</f>
        <v>1077.9166666666667</v>
      </c>
      <c r="BE39" s="42">
        <f>BA39/BB39</f>
        <v>1.8031667184104316</v>
      </c>
      <c r="BF39" s="13">
        <v>2</v>
      </c>
      <c r="BG39" s="13">
        <v>34</v>
      </c>
      <c r="BH39" s="13">
        <v>0</v>
      </c>
      <c r="BI39" s="13">
        <v>2</v>
      </c>
      <c r="BJ39" s="13">
        <v>8</v>
      </c>
      <c r="BK39" s="13">
        <v>12</v>
      </c>
      <c r="BL39" s="13">
        <v>6</v>
      </c>
      <c r="BM39" s="13">
        <v>31</v>
      </c>
      <c r="BN39" s="13">
        <v>20</v>
      </c>
      <c r="BO39" s="13">
        <v>3</v>
      </c>
      <c r="BP39" s="13">
        <v>5</v>
      </c>
      <c r="BQ39" s="13">
        <v>0</v>
      </c>
      <c r="BR39" s="13">
        <v>7</v>
      </c>
      <c r="BS39" s="13">
        <v>8</v>
      </c>
      <c r="BT39" s="13">
        <v>9</v>
      </c>
      <c r="BU39" s="13">
        <v>0</v>
      </c>
      <c r="BV39" s="13">
        <v>2</v>
      </c>
      <c r="BW39" s="13">
        <v>3</v>
      </c>
      <c r="BX39" s="13">
        <v>4</v>
      </c>
      <c r="BY39" s="13">
        <v>13</v>
      </c>
      <c r="BZ39" s="13">
        <v>5</v>
      </c>
      <c r="CA39" s="13">
        <v>19</v>
      </c>
      <c r="CB39" s="13">
        <v>81</v>
      </c>
      <c r="CC39" s="13">
        <v>12</v>
      </c>
      <c r="CD39" s="13">
        <v>13</v>
      </c>
      <c r="CE39" s="14">
        <f>AVERAGE(BF39:CD39)</f>
        <v>11.96</v>
      </c>
      <c r="CF39" s="41">
        <f>_xlfn.STDEV.P(BF39:CD39)</f>
        <v>16.587899203937791</v>
      </c>
      <c r="CG39" s="17">
        <f>MAX(BF39:CD39)</f>
        <v>81</v>
      </c>
      <c r="CH39" s="17">
        <f>AVERAGE(CB39:CD39)</f>
        <v>35.333333333333336</v>
      </c>
      <c r="CI39" s="41">
        <f>_xlfn.STDEV.P(CB39:CD39)</f>
        <v>32.293790252754306</v>
      </c>
      <c r="CJ39" s="41">
        <f>MAX(BY39:CD39)</f>
        <v>81</v>
      </c>
      <c r="CL39" s="23">
        <f t="shared" si="6"/>
        <v>0.34631147540983609</v>
      </c>
      <c r="CM39" s="14">
        <f t="shared" si="7"/>
        <v>407</v>
      </c>
      <c r="CN39" s="43">
        <f>100*IF(CM39&gt;0,CM39,0)</f>
        <v>40700</v>
      </c>
      <c r="CO39" s="13">
        <f t="shared" si="8"/>
        <v>407</v>
      </c>
      <c r="CP39" s="43">
        <f>100*IF(CO39&gt;0,CO39,0)</f>
        <v>40700</v>
      </c>
      <c r="CQ39" s="13">
        <f>CE39+2*CF39</f>
        <v>45.135798407875583</v>
      </c>
      <c r="CR39" s="44">
        <f t="shared" si="9"/>
        <v>442.8642015921244</v>
      </c>
      <c r="CS39" s="43">
        <f>100*IF(CR39&gt;0,CR39,0)</f>
        <v>44286.420159212437</v>
      </c>
      <c r="CU39" s="23">
        <f>SUM(BS39:CD39)/(0.8*BA39)</f>
        <v>8.7293388429752067E-2</v>
      </c>
      <c r="CV39" s="14">
        <f>(0.65*AVERAGE(AD39:BA39))-CG39</f>
        <v>791.35416666666663</v>
      </c>
      <c r="CW39" s="43">
        <f>20*IF(CV39&gt;0,CV39,0)</f>
        <v>15827.083333333332</v>
      </c>
      <c r="CX39" s="13">
        <f>0.8*BA39-CJ39</f>
        <v>1855</v>
      </c>
      <c r="CY39" s="43">
        <f>20*IF(CX39&gt;0,CX39,0)</f>
        <v>37100</v>
      </c>
      <c r="CZ39" s="13">
        <f>CE39+2*CF39</f>
        <v>45.135798407875583</v>
      </c>
      <c r="DA39" s="44">
        <f>0.8*BA39-CQ39</f>
        <v>1890.8642015921243</v>
      </c>
      <c r="DB39" s="43">
        <f>20*IF(DA39&gt;0,DA39,0)</f>
        <v>37817.284031842486</v>
      </c>
      <c r="DD39" s="23">
        <f t="shared" si="10"/>
        <v>6.0133788784514655E-2</v>
      </c>
      <c r="DE39" s="57">
        <f t="shared" si="16"/>
        <v>97200</v>
      </c>
      <c r="DF39" s="14">
        <f t="shared" si="11"/>
        <v>2729.4</v>
      </c>
      <c r="DG39" s="43">
        <f>20*IF(DF39&gt;0,DF39,0)</f>
        <v>54588</v>
      </c>
      <c r="DH39" s="13">
        <f t="shared" si="12"/>
        <v>2729.4</v>
      </c>
      <c r="DI39" s="43">
        <f>20*IF(DH39&gt;0,DH39,0)</f>
        <v>54588</v>
      </c>
      <c r="DJ39" s="13">
        <f>CH41+2*CI41</f>
        <v>17.754084313139327</v>
      </c>
      <c r="DK39" s="44">
        <f t="shared" si="13"/>
        <v>2792.6459156868609</v>
      </c>
      <c r="DL39" s="43">
        <f>20*IF(DK39&gt;0,DK39,0)</f>
        <v>55852.918313737217</v>
      </c>
      <c r="DN39" s="13">
        <v>0</v>
      </c>
      <c r="DO39" s="13">
        <f>(C39-B39)+(AE39-AD39)+BG39</f>
        <v>179</v>
      </c>
      <c r="DP39" s="13">
        <f t="shared" si="17"/>
        <v>61</v>
      </c>
      <c r="DQ39" s="13">
        <f t="shared" si="18"/>
        <v>1</v>
      </c>
      <c r="DR39" s="13">
        <f t="shared" si="19"/>
        <v>30</v>
      </c>
      <c r="DS39" s="13">
        <f t="shared" si="20"/>
        <v>-10</v>
      </c>
      <c r="DT39" s="13">
        <f t="shared" si="21"/>
        <v>176</v>
      </c>
      <c r="DU39" s="13">
        <f t="shared" si="22"/>
        <v>10</v>
      </c>
      <c r="DV39" s="13">
        <f t="shared" si="23"/>
        <v>-225</v>
      </c>
      <c r="DW39" s="13">
        <f t="shared" si="24"/>
        <v>38</v>
      </c>
      <c r="DX39" s="13">
        <f t="shared" si="25"/>
        <v>64</v>
      </c>
      <c r="DY39" s="13">
        <f t="shared" si="26"/>
        <v>53</v>
      </c>
      <c r="DZ39" s="13">
        <f t="shared" si="27"/>
        <v>-34</v>
      </c>
      <c r="EA39" s="13">
        <f t="shared" si="28"/>
        <v>577</v>
      </c>
      <c r="EB39" s="13">
        <f t="shared" si="29"/>
        <v>213</v>
      </c>
      <c r="EC39" s="13">
        <f t="shared" si="30"/>
        <v>376</v>
      </c>
      <c r="ED39" s="13">
        <f t="shared" si="31"/>
        <v>134</v>
      </c>
      <c r="EE39" s="13">
        <f t="shared" si="32"/>
        <v>-167</v>
      </c>
      <c r="EF39" s="13">
        <f t="shared" si="33"/>
        <v>274</v>
      </c>
      <c r="EG39" s="13">
        <f t="shared" si="34"/>
        <v>-129</v>
      </c>
      <c r="EH39" s="13">
        <f t="shared" si="35"/>
        <v>235</v>
      </c>
      <c r="EI39" s="13">
        <f t="shared" si="36"/>
        <v>155</v>
      </c>
      <c r="EJ39" s="13">
        <f t="shared" si="37"/>
        <v>-168</v>
      </c>
      <c r="EK39" s="13">
        <f t="shared" si="38"/>
        <v>437</v>
      </c>
      <c r="EL39" s="14">
        <f t="shared" si="15"/>
        <v>2280</v>
      </c>
    </row>
    <row r="40" spans="1:142" x14ac:dyDescent="0.2">
      <c r="A40" s="12">
        <v>54</v>
      </c>
      <c r="B40" s="13">
        <v>347</v>
      </c>
      <c r="C40" s="13">
        <v>340</v>
      </c>
      <c r="D40" s="13">
        <v>327</v>
      </c>
      <c r="E40" s="13">
        <v>321</v>
      </c>
      <c r="F40" s="13">
        <v>301</v>
      </c>
      <c r="G40" s="13">
        <v>271</v>
      </c>
      <c r="H40" s="13">
        <v>264</v>
      </c>
      <c r="I40" s="13">
        <v>228</v>
      </c>
      <c r="J40" s="13">
        <v>313</v>
      </c>
      <c r="K40" s="13">
        <v>254</v>
      </c>
      <c r="L40" s="13">
        <v>256</v>
      </c>
      <c r="M40" s="13">
        <v>275</v>
      </c>
      <c r="N40" s="13">
        <v>396</v>
      </c>
      <c r="O40" s="13">
        <v>424</v>
      </c>
      <c r="P40" s="13">
        <v>380</v>
      </c>
      <c r="Q40" s="13">
        <v>724</v>
      </c>
      <c r="R40" s="13">
        <v>680</v>
      </c>
      <c r="S40" s="13">
        <v>672</v>
      </c>
      <c r="T40" s="13">
        <v>671</v>
      </c>
      <c r="U40" s="13">
        <v>784</v>
      </c>
      <c r="V40" s="13">
        <v>795</v>
      </c>
      <c r="W40" s="13">
        <v>623</v>
      </c>
      <c r="X40" s="13">
        <v>724</v>
      </c>
      <c r="Y40" s="13">
        <v>599</v>
      </c>
      <c r="Z40" s="14">
        <f>AVERAGE(B40:Y40)</f>
        <v>457.04166666666669</v>
      </c>
      <c r="AA40" s="15">
        <f>_xlfn.STDEV.P(B40:Y40)</f>
        <v>194.64036904991957</v>
      </c>
      <c r="AB40" s="13">
        <f t="shared" si="4"/>
        <v>141.95833333333331</v>
      </c>
      <c r="AC40" s="19">
        <f t="shared" si="5"/>
        <v>1.3106026073479806</v>
      </c>
      <c r="AD40" s="14">
        <v>156</v>
      </c>
      <c r="AE40" s="17">
        <v>189</v>
      </c>
      <c r="AF40" s="17">
        <v>152</v>
      </c>
      <c r="AG40" s="17">
        <v>152</v>
      </c>
      <c r="AH40" s="17">
        <v>150</v>
      </c>
      <c r="AI40" s="17">
        <v>265</v>
      </c>
      <c r="AJ40" s="17">
        <v>203</v>
      </c>
      <c r="AK40" s="17">
        <v>211</v>
      </c>
      <c r="AL40" s="17">
        <v>511</v>
      </c>
      <c r="AM40" s="17">
        <v>322</v>
      </c>
      <c r="AN40" s="17">
        <v>536</v>
      </c>
      <c r="AO40" s="17">
        <v>451</v>
      </c>
      <c r="AP40" s="17">
        <v>888</v>
      </c>
      <c r="AQ40" s="17">
        <v>875</v>
      </c>
      <c r="AR40" s="17">
        <v>1271</v>
      </c>
      <c r="AS40" s="17">
        <v>1384</v>
      </c>
      <c r="AT40" s="17">
        <v>1229</v>
      </c>
      <c r="AU40" s="17">
        <v>1305</v>
      </c>
      <c r="AV40" s="17">
        <v>1251</v>
      </c>
      <c r="AW40" s="17">
        <v>1474</v>
      </c>
      <c r="AX40" s="17">
        <v>1330</v>
      </c>
      <c r="AY40" s="17">
        <v>1409</v>
      </c>
      <c r="AZ40" s="17">
        <v>1675</v>
      </c>
      <c r="BA40" s="40">
        <v>1518</v>
      </c>
      <c r="BB40" s="17">
        <f>AVERAGE(AD40:BA40)</f>
        <v>787.79166666666663</v>
      </c>
      <c r="BC40" s="41">
        <f>_xlfn.STDEV.P(AD40:BB40)</f>
        <v>534.63198401641955</v>
      </c>
      <c r="BD40" s="17">
        <f>BA40-BB40</f>
        <v>730.20833333333337</v>
      </c>
      <c r="BE40" s="42">
        <f>BA40/BB40</f>
        <v>1.9269053789601736</v>
      </c>
      <c r="BF40" s="13">
        <v>19</v>
      </c>
      <c r="BG40" s="13">
        <v>35</v>
      </c>
      <c r="BH40" s="13">
        <v>73</v>
      </c>
      <c r="BI40" s="13">
        <v>6</v>
      </c>
      <c r="BJ40" s="13">
        <v>17</v>
      </c>
      <c r="BK40" s="13">
        <v>36</v>
      </c>
      <c r="BL40" s="13">
        <v>120</v>
      </c>
      <c r="BM40" s="13">
        <v>87</v>
      </c>
      <c r="BN40" s="13">
        <v>44</v>
      </c>
      <c r="BO40" s="13">
        <v>291</v>
      </c>
      <c r="BP40" s="13">
        <v>205</v>
      </c>
      <c r="BQ40" s="13">
        <v>89</v>
      </c>
      <c r="BR40" s="13">
        <v>72</v>
      </c>
      <c r="BS40" s="13">
        <v>122</v>
      </c>
      <c r="BT40" s="13">
        <v>533</v>
      </c>
      <c r="BU40" s="13">
        <v>325</v>
      </c>
      <c r="BV40" s="13">
        <v>336</v>
      </c>
      <c r="BW40" s="13">
        <v>200</v>
      </c>
      <c r="BX40" s="13">
        <v>144</v>
      </c>
      <c r="BY40" s="13">
        <v>193</v>
      </c>
      <c r="BZ40" s="13">
        <v>147</v>
      </c>
      <c r="CA40" s="13">
        <v>311</v>
      </c>
      <c r="CB40" s="13">
        <v>32</v>
      </c>
      <c r="CC40" s="13">
        <v>321</v>
      </c>
      <c r="CD40" s="13">
        <v>174</v>
      </c>
      <c r="CE40" s="14">
        <f>AVERAGE(BF40:CD40)</f>
        <v>157.28</v>
      </c>
      <c r="CF40" s="41">
        <f>_xlfn.STDEV.P(BF40:CD40)</f>
        <v>129.91951970354572</v>
      </c>
      <c r="CG40" s="17">
        <f>MAX(BF40:CD40)</f>
        <v>533</v>
      </c>
      <c r="CH40" s="17">
        <f>AVERAGE(CB40:CD40)</f>
        <v>175.66666666666666</v>
      </c>
      <c r="CI40" s="41">
        <f>_xlfn.STDEV.P(CB40:CD40)</f>
        <v>117.98964172992287</v>
      </c>
      <c r="CJ40" s="41">
        <f>MAX(BY40:CD40)</f>
        <v>321</v>
      </c>
      <c r="CL40" s="23">
        <f t="shared" si="6"/>
        <v>4.7378964941569279</v>
      </c>
      <c r="CM40" s="14">
        <f t="shared" si="7"/>
        <v>66</v>
      </c>
      <c r="CN40" s="43">
        <f>100*IF(CM40&gt;0,CM40,0)</f>
        <v>6600</v>
      </c>
      <c r="CO40" s="13">
        <f t="shared" si="8"/>
        <v>278</v>
      </c>
      <c r="CP40" s="43">
        <f>100*IF(CO40&gt;0,CO40,0)</f>
        <v>27800</v>
      </c>
      <c r="CQ40" s="13">
        <f>CE40+2*CF40</f>
        <v>417.11903940709146</v>
      </c>
      <c r="CR40" s="44">
        <f t="shared" si="9"/>
        <v>181.88096059290854</v>
      </c>
      <c r="CS40" s="43">
        <f>100*IF(CR40&gt;0,CR40,0)</f>
        <v>18188.096059290852</v>
      </c>
      <c r="CU40" s="23">
        <f>SUM(BS40:CD40)/(0.8*BA40)</f>
        <v>2.3369565217391304</v>
      </c>
      <c r="CV40" s="14">
        <f>(0.65*AVERAGE(AD40:BA40))-CG40</f>
        <v>-20.935416666666697</v>
      </c>
      <c r="CW40" s="43">
        <f>20*IF(CV40&gt;0,CV40,0)</f>
        <v>0</v>
      </c>
      <c r="CX40" s="13">
        <f>0.8*BA40-CJ40</f>
        <v>893.40000000000009</v>
      </c>
      <c r="CY40" s="43">
        <f>20*IF(CX40&gt;0,CX40,0)</f>
        <v>17868</v>
      </c>
      <c r="CZ40" s="13">
        <f>CE40+2*CF40</f>
        <v>417.11903940709146</v>
      </c>
      <c r="DA40" s="44">
        <f>0.8*BA40-CQ40</f>
        <v>797.28096059290863</v>
      </c>
      <c r="DB40" s="43">
        <f>20*IF(DA40&gt;0,DA40,0)</f>
        <v>15945.619211858173</v>
      </c>
      <c r="DD40" s="23">
        <f t="shared" si="10"/>
        <v>1.4209893851391948</v>
      </c>
      <c r="DE40" s="57">
        <f t="shared" si="16"/>
        <v>90260</v>
      </c>
      <c r="DF40" s="14">
        <f t="shared" si="11"/>
        <v>1464.2</v>
      </c>
      <c r="DG40" s="43">
        <f>20*IF(DF40&gt;0,DF40,0)</f>
        <v>29284</v>
      </c>
      <c r="DH40" s="13">
        <f t="shared" si="12"/>
        <v>1676.2</v>
      </c>
      <c r="DI40" s="43">
        <f>20*IF(DH40&gt;0,DH40,0)</f>
        <v>33524</v>
      </c>
      <c r="DJ40" s="13">
        <f>CH42+2*CI42</f>
        <v>52.659863237109043</v>
      </c>
      <c r="DK40" s="44">
        <f t="shared" si="13"/>
        <v>1944.5401367628911</v>
      </c>
      <c r="DL40" s="43">
        <f>20*IF(DK40&gt;0,DK40,0)</f>
        <v>38890.802735257821</v>
      </c>
      <c r="DN40" s="13">
        <v>0</v>
      </c>
      <c r="DO40" s="13">
        <f>(C40-B40)+(AE40-AD40)+BG40</f>
        <v>61</v>
      </c>
      <c r="DP40" s="13">
        <f t="shared" si="17"/>
        <v>23</v>
      </c>
      <c r="DQ40" s="13">
        <f t="shared" si="18"/>
        <v>0</v>
      </c>
      <c r="DR40" s="13">
        <f t="shared" si="19"/>
        <v>-5</v>
      </c>
      <c r="DS40" s="13">
        <f t="shared" si="20"/>
        <v>121</v>
      </c>
      <c r="DT40" s="13">
        <f t="shared" si="21"/>
        <v>51</v>
      </c>
      <c r="DU40" s="13">
        <f t="shared" si="22"/>
        <v>59</v>
      </c>
      <c r="DV40" s="13">
        <f t="shared" si="23"/>
        <v>429</v>
      </c>
      <c r="DW40" s="13">
        <f t="shared" si="24"/>
        <v>43</v>
      </c>
      <c r="DX40" s="13">
        <f t="shared" si="25"/>
        <v>421</v>
      </c>
      <c r="DY40" s="13">
        <f t="shared" si="26"/>
        <v>23</v>
      </c>
      <c r="DZ40" s="13">
        <f t="shared" si="27"/>
        <v>630</v>
      </c>
      <c r="EA40" s="13">
        <f t="shared" si="28"/>
        <v>137</v>
      </c>
      <c r="EB40" s="13">
        <f t="shared" si="29"/>
        <v>885</v>
      </c>
      <c r="EC40" s="13">
        <f t="shared" si="30"/>
        <v>782</v>
      </c>
      <c r="ED40" s="13">
        <f t="shared" si="31"/>
        <v>137</v>
      </c>
      <c r="EE40" s="13">
        <f t="shared" si="32"/>
        <v>268</v>
      </c>
      <c r="EF40" s="13">
        <f t="shared" si="33"/>
        <v>89</v>
      </c>
      <c r="EG40" s="13">
        <f t="shared" si="34"/>
        <v>529</v>
      </c>
      <c r="EH40" s="13">
        <f t="shared" si="35"/>
        <v>14</v>
      </c>
      <c r="EI40" s="13">
        <f t="shared" si="36"/>
        <v>218</v>
      </c>
      <c r="EJ40" s="13">
        <f t="shared" si="37"/>
        <v>399</v>
      </c>
      <c r="EK40" s="13">
        <f t="shared" si="38"/>
        <v>39</v>
      </c>
      <c r="EL40" s="14">
        <f t="shared" si="15"/>
        <v>5353</v>
      </c>
    </row>
    <row r="41" spans="1:142" x14ac:dyDescent="0.2">
      <c r="A41" s="12">
        <v>55</v>
      </c>
      <c r="B41" s="13">
        <v>268</v>
      </c>
      <c r="C41" s="13">
        <v>278</v>
      </c>
      <c r="D41" s="13">
        <v>286</v>
      </c>
      <c r="E41" s="13">
        <v>280</v>
      </c>
      <c r="F41" s="13">
        <v>266</v>
      </c>
      <c r="G41" s="13">
        <v>281</v>
      </c>
      <c r="H41" s="13">
        <v>283</v>
      </c>
      <c r="I41" s="13">
        <v>300</v>
      </c>
      <c r="J41" s="13">
        <v>231</v>
      </c>
      <c r="K41" s="13">
        <v>235</v>
      </c>
      <c r="L41" s="13">
        <v>224</v>
      </c>
      <c r="M41" s="13">
        <v>235</v>
      </c>
      <c r="N41" s="13">
        <v>236</v>
      </c>
      <c r="O41" s="13">
        <v>209</v>
      </c>
      <c r="P41" s="13">
        <v>224</v>
      </c>
      <c r="Q41" s="13">
        <v>279</v>
      </c>
      <c r="R41" s="13">
        <v>313</v>
      </c>
      <c r="S41" s="13">
        <v>328</v>
      </c>
      <c r="T41" s="13">
        <v>329</v>
      </c>
      <c r="U41" s="13">
        <v>317</v>
      </c>
      <c r="V41" s="13">
        <v>321</v>
      </c>
      <c r="W41" s="13">
        <v>321</v>
      </c>
      <c r="X41" s="13">
        <v>332</v>
      </c>
      <c r="Y41" s="13">
        <v>305</v>
      </c>
      <c r="Z41" s="14">
        <f>AVERAGE(B41:Y41)</f>
        <v>278.375</v>
      </c>
      <c r="AA41" s="15">
        <f>_xlfn.STDEV.P(B41:Y41)</f>
        <v>37.794193226826089</v>
      </c>
      <c r="AB41" s="13">
        <f t="shared" si="4"/>
        <v>26.625</v>
      </c>
      <c r="AC41" s="19">
        <f t="shared" si="5"/>
        <v>1.0956443646160754</v>
      </c>
      <c r="AD41" s="14">
        <v>121</v>
      </c>
      <c r="AE41" s="17">
        <v>116</v>
      </c>
      <c r="AF41" s="17">
        <v>116</v>
      </c>
      <c r="AG41" s="17">
        <v>116</v>
      </c>
      <c r="AH41" s="17">
        <v>116</v>
      </c>
      <c r="AI41" s="17">
        <v>124</v>
      </c>
      <c r="AJ41" s="17">
        <v>154</v>
      </c>
      <c r="AK41" s="17">
        <v>145</v>
      </c>
      <c r="AL41" s="17">
        <v>145</v>
      </c>
      <c r="AM41" s="17">
        <v>155</v>
      </c>
      <c r="AN41" s="17">
        <v>223</v>
      </c>
      <c r="AO41" s="17">
        <v>231</v>
      </c>
      <c r="AP41" s="17">
        <v>308</v>
      </c>
      <c r="AQ41" s="17">
        <v>349</v>
      </c>
      <c r="AR41" s="17">
        <v>520</v>
      </c>
      <c r="AS41" s="17">
        <v>532</v>
      </c>
      <c r="AT41" s="17">
        <v>515</v>
      </c>
      <c r="AU41" s="17">
        <v>519</v>
      </c>
      <c r="AV41" s="17">
        <v>504</v>
      </c>
      <c r="AW41" s="17">
        <v>496</v>
      </c>
      <c r="AX41" s="17">
        <v>615</v>
      </c>
      <c r="AY41" s="17">
        <v>629</v>
      </c>
      <c r="AZ41" s="17">
        <v>633</v>
      </c>
      <c r="BA41" s="40">
        <v>646</v>
      </c>
      <c r="BB41" s="17">
        <f>AVERAGE(AD41:BA41)</f>
        <v>334.5</v>
      </c>
      <c r="BC41" s="41">
        <f>_xlfn.STDEV.P(AD41:BB41)</f>
        <v>198.78973816573128</v>
      </c>
      <c r="BD41" s="17">
        <f>BA41-BB41</f>
        <v>311.5</v>
      </c>
      <c r="BE41" s="42">
        <f>BA41/BB41</f>
        <v>1.9312406576980568</v>
      </c>
      <c r="BF41" s="13">
        <v>9</v>
      </c>
      <c r="BG41" s="13">
        <v>6</v>
      </c>
      <c r="BH41" s="13">
        <v>-1</v>
      </c>
      <c r="BI41" s="13">
        <v>3</v>
      </c>
      <c r="BJ41" s="13">
        <v>0</v>
      </c>
      <c r="BK41" s="13">
        <v>0</v>
      </c>
      <c r="BL41" s="13">
        <v>12</v>
      </c>
      <c r="BM41" s="13">
        <v>0</v>
      </c>
      <c r="BN41" s="13">
        <v>12</v>
      </c>
      <c r="BO41" s="13">
        <v>0</v>
      </c>
      <c r="BP41" s="13">
        <v>18</v>
      </c>
      <c r="BQ41" s="13">
        <v>1</v>
      </c>
      <c r="BR41" s="13">
        <v>6</v>
      </c>
      <c r="BS41" s="13">
        <v>7</v>
      </c>
      <c r="BT41" s="13">
        <v>5</v>
      </c>
      <c r="BU41" s="13">
        <v>10</v>
      </c>
      <c r="BV41" s="13">
        <v>3</v>
      </c>
      <c r="BW41" s="13">
        <v>15</v>
      </c>
      <c r="BX41" s="13">
        <v>4</v>
      </c>
      <c r="BY41" s="13">
        <v>9</v>
      </c>
      <c r="BZ41" s="13">
        <v>2</v>
      </c>
      <c r="CA41" s="13">
        <v>6</v>
      </c>
      <c r="CB41" s="13">
        <v>1</v>
      </c>
      <c r="CC41" s="13">
        <v>14</v>
      </c>
      <c r="CD41" s="13">
        <v>0</v>
      </c>
      <c r="CE41" s="14">
        <f>AVERAGE(BF41:CD41)</f>
        <v>5.68</v>
      </c>
      <c r="CF41" s="41">
        <f>_xlfn.STDEV.P(BF41:CD41)</f>
        <v>5.3345665240954681</v>
      </c>
      <c r="CG41" s="17">
        <f>MAX(BF41:CD41)</f>
        <v>18</v>
      </c>
      <c r="CH41" s="17">
        <f>AVERAGE(CB41:CD41)</f>
        <v>5</v>
      </c>
      <c r="CI41" s="41">
        <f>_xlfn.STDEV.P(CB41:CD41)</f>
        <v>6.3770421565696633</v>
      </c>
      <c r="CJ41" s="41">
        <f>MAX(BY41:CD41)</f>
        <v>14</v>
      </c>
      <c r="CL41" s="23">
        <f t="shared" si="6"/>
        <v>0.24918032786885247</v>
      </c>
      <c r="CM41" s="14">
        <f t="shared" si="7"/>
        <v>287</v>
      </c>
      <c r="CN41" s="43">
        <f>100*IF(CM41&gt;0,CM41,0)</f>
        <v>28700</v>
      </c>
      <c r="CO41" s="13">
        <f t="shared" si="8"/>
        <v>291</v>
      </c>
      <c r="CP41" s="43">
        <f>100*IF(CO41&gt;0,CO41,0)</f>
        <v>29100</v>
      </c>
      <c r="CQ41" s="13">
        <f>CE41+2*CF41</f>
        <v>16.349133048190936</v>
      </c>
      <c r="CR41" s="44">
        <f t="shared" si="9"/>
        <v>288.65086695180906</v>
      </c>
      <c r="CS41" s="43">
        <f>100*IF(CR41&gt;0,CR41,0)</f>
        <v>28865.086695180908</v>
      </c>
      <c r="CU41" s="23">
        <f>SUM(BS41:CD41)/(0.8*BA41)</f>
        <v>0.14705882352941174</v>
      </c>
      <c r="CV41" s="14">
        <f>(0.65*AVERAGE(AD41:BA41))-CG41</f>
        <v>199.42500000000001</v>
      </c>
      <c r="CW41" s="43">
        <f>20*IF(CV41&gt;0,CV41,0)</f>
        <v>3988.5</v>
      </c>
      <c r="CX41" s="13">
        <f>0.8*BA41-CJ41</f>
        <v>502.80000000000007</v>
      </c>
      <c r="CY41" s="43">
        <f>20*IF(CX41&gt;0,CX41,0)</f>
        <v>10056.000000000002</v>
      </c>
      <c r="CZ41" s="13">
        <f>CE41+2*CF41</f>
        <v>16.349133048190936</v>
      </c>
      <c r="DA41" s="44">
        <f>0.8*BA41-CQ41</f>
        <v>500.45086695180913</v>
      </c>
      <c r="DB41" s="43">
        <f>20*IF(DA41&gt;0,DA41,0)</f>
        <v>10009.017339036183</v>
      </c>
      <c r="DD41" s="23">
        <f t="shared" si="10"/>
        <v>8.5393258426966295E-2</v>
      </c>
      <c r="DE41" s="57">
        <f t="shared" si="16"/>
        <v>43420</v>
      </c>
      <c r="DF41" s="14">
        <f t="shared" si="11"/>
        <v>872</v>
      </c>
      <c r="DG41" s="43">
        <f>20*IF(DF41&gt;0,DF41,0)</f>
        <v>17440</v>
      </c>
      <c r="DH41" s="13">
        <f t="shared" si="12"/>
        <v>876</v>
      </c>
      <c r="DI41" s="43">
        <f>20*IF(DH41&gt;0,DH41,0)</f>
        <v>17520</v>
      </c>
      <c r="DJ41" s="13">
        <f>CH43+2*CI43</f>
        <v>237.13586306845423</v>
      </c>
      <c r="DK41" s="44">
        <f t="shared" si="13"/>
        <v>652.86413693154577</v>
      </c>
      <c r="DL41" s="43">
        <f>20*IF(DK41&gt;0,DK41,0)</f>
        <v>13057.282738630915</v>
      </c>
      <c r="DN41" s="13">
        <v>0</v>
      </c>
      <c r="DO41" s="13">
        <f>(C41-B41)+(AE41-AD41)+BG41</f>
        <v>11</v>
      </c>
      <c r="DP41" s="13">
        <f t="shared" si="17"/>
        <v>7</v>
      </c>
      <c r="DQ41" s="13">
        <f t="shared" si="18"/>
        <v>-3</v>
      </c>
      <c r="DR41" s="13">
        <f t="shared" si="19"/>
        <v>-14</v>
      </c>
      <c r="DS41" s="13">
        <f t="shared" si="20"/>
        <v>23</v>
      </c>
      <c r="DT41" s="13">
        <f t="shared" si="21"/>
        <v>44</v>
      </c>
      <c r="DU41" s="13">
        <f t="shared" si="22"/>
        <v>8</v>
      </c>
      <c r="DV41" s="13">
        <f t="shared" si="23"/>
        <v>-57</v>
      </c>
      <c r="DW41" s="13">
        <f t="shared" si="24"/>
        <v>14</v>
      </c>
      <c r="DX41" s="13">
        <f t="shared" si="25"/>
        <v>75</v>
      </c>
      <c r="DY41" s="13">
        <f t="shared" si="26"/>
        <v>20</v>
      </c>
      <c r="DZ41" s="13">
        <f t="shared" si="27"/>
        <v>84</v>
      </c>
      <c r="EA41" s="13">
        <f t="shared" si="28"/>
        <v>21</v>
      </c>
      <c r="EB41" s="13">
        <f t="shared" si="29"/>
        <v>191</v>
      </c>
      <c r="EC41" s="13">
        <f t="shared" si="30"/>
        <v>77</v>
      </c>
      <c r="ED41" s="13">
        <f t="shared" si="31"/>
        <v>20</v>
      </c>
      <c r="EE41" s="13">
        <f t="shared" si="32"/>
        <v>34</v>
      </c>
      <c r="EF41" s="13">
        <f t="shared" si="33"/>
        <v>-10</v>
      </c>
      <c r="EG41" s="13">
        <f t="shared" si="34"/>
        <v>-11</v>
      </c>
      <c r="EH41" s="13">
        <f t="shared" si="35"/>
        <v>125</v>
      </c>
      <c r="EI41" s="13">
        <f t="shared" si="36"/>
        <v>20</v>
      </c>
      <c r="EJ41" s="13">
        <f t="shared" si="37"/>
        <v>16</v>
      </c>
      <c r="EK41" s="13">
        <f t="shared" si="38"/>
        <v>0</v>
      </c>
      <c r="EL41" s="14">
        <f t="shared" si="15"/>
        <v>695</v>
      </c>
    </row>
    <row r="42" spans="1:142" x14ac:dyDescent="0.2">
      <c r="A42" s="12">
        <v>56</v>
      </c>
      <c r="B42" s="13">
        <v>263</v>
      </c>
      <c r="C42" s="13">
        <v>228</v>
      </c>
      <c r="D42" s="13">
        <v>231</v>
      </c>
      <c r="E42" s="13">
        <v>231</v>
      </c>
      <c r="F42" s="13">
        <v>234</v>
      </c>
      <c r="G42" s="13">
        <v>207</v>
      </c>
      <c r="H42" s="13">
        <v>194</v>
      </c>
      <c r="I42" s="13">
        <v>196</v>
      </c>
      <c r="J42" s="13">
        <v>167</v>
      </c>
      <c r="K42" s="13">
        <v>185</v>
      </c>
      <c r="L42" s="13">
        <v>197</v>
      </c>
      <c r="M42" s="13">
        <v>210</v>
      </c>
      <c r="N42" s="13">
        <v>209</v>
      </c>
      <c r="O42" s="13">
        <v>124</v>
      </c>
      <c r="P42" s="13">
        <v>94</v>
      </c>
      <c r="Q42" s="13">
        <v>110</v>
      </c>
      <c r="R42" s="13">
        <v>112</v>
      </c>
      <c r="S42" s="13">
        <v>113</v>
      </c>
      <c r="T42" s="13">
        <v>110</v>
      </c>
      <c r="U42" s="13">
        <v>98</v>
      </c>
      <c r="V42" s="13">
        <v>117</v>
      </c>
      <c r="W42" s="13">
        <v>126</v>
      </c>
      <c r="X42" s="13">
        <v>175</v>
      </c>
      <c r="Y42" s="13">
        <v>196</v>
      </c>
      <c r="Z42" s="14">
        <f>AVERAGE(B42:Y42)</f>
        <v>171.95833333333334</v>
      </c>
      <c r="AA42" s="15">
        <f>_xlfn.STDEV.P(B42:Y42)</f>
        <v>51.03061104757505</v>
      </c>
      <c r="AB42" s="13">
        <f t="shared" si="4"/>
        <v>24.041666666666657</v>
      </c>
      <c r="AC42" s="19">
        <f t="shared" si="5"/>
        <v>1.1398110007269202</v>
      </c>
      <c r="AD42" s="14">
        <v>102</v>
      </c>
      <c r="AE42" s="17">
        <v>109</v>
      </c>
      <c r="AF42" s="17">
        <v>109</v>
      </c>
      <c r="AG42" s="17">
        <v>109</v>
      </c>
      <c r="AH42" s="17">
        <v>102</v>
      </c>
      <c r="AI42" s="17">
        <v>115</v>
      </c>
      <c r="AJ42" s="17">
        <v>171</v>
      </c>
      <c r="AK42" s="17">
        <v>166</v>
      </c>
      <c r="AL42" s="17">
        <v>172</v>
      </c>
      <c r="AM42" s="17">
        <v>253</v>
      </c>
      <c r="AN42" s="17">
        <v>337</v>
      </c>
      <c r="AO42" s="17">
        <v>353</v>
      </c>
      <c r="AP42" s="17">
        <v>353</v>
      </c>
      <c r="AQ42" s="17">
        <v>363</v>
      </c>
      <c r="AR42" s="17">
        <v>651</v>
      </c>
      <c r="AS42" s="17">
        <v>623</v>
      </c>
      <c r="AT42" s="17">
        <v>623</v>
      </c>
      <c r="AU42" s="17">
        <v>625</v>
      </c>
      <c r="AV42" s="17">
        <v>599</v>
      </c>
      <c r="AW42" s="17">
        <v>660</v>
      </c>
      <c r="AX42" s="17">
        <v>754</v>
      </c>
      <c r="AY42" s="17">
        <v>844</v>
      </c>
      <c r="AZ42" s="17">
        <v>833</v>
      </c>
      <c r="BA42" s="40">
        <v>764</v>
      </c>
      <c r="BB42" s="17">
        <f>AVERAGE(AD42:BA42)</f>
        <v>407.91666666666669</v>
      </c>
      <c r="BC42" s="41">
        <f>_xlfn.STDEV.P(AD42:BB42)</f>
        <v>258.04184415193856</v>
      </c>
      <c r="BD42" s="17">
        <f>BA42-BB42</f>
        <v>356.08333333333331</v>
      </c>
      <c r="BE42" s="42">
        <f>BA42/BB42</f>
        <v>1.8729315628192031</v>
      </c>
      <c r="BF42" s="13">
        <v>19</v>
      </c>
      <c r="BG42" s="13">
        <v>6</v>
      </c>
      <c r="BH42" s="13">
        <v>0</v>
      </c>
      <c r="BI42" s="13">
        <v>5</v>
      </c>
      <c r="BJ42" s="13">
        <v>0</v>
      </c>
      <c r="BK42" s="13">
        <v>10</v>
      </c>
      <c r="BL42" s="13">
        <v>15</v>
      </c>
      <c r="BM42" s="13">
        <v>0</v>
      </c>
      <c r="BN42" s="13">
        <v>0</v>
      </c>
      <c r="BO42" s="13">
        <v>10</v>
      </c>
      <c r="BP42" s="13">
        <v>8</v>
      </c>
      <c r="BQ42" s="13">
        <v>2</v>
      </c>
      <c r="BR42" s="13">
        <v>3</v>
      </c>
      <c r="BS42" s="13">
        <v>20</v>
      </c>
      <c r="BT42" s="13">
        <v>31</v>
      </c>
      <c r="BU42" s="13">
        <v>8</v>
      </c>
      <c r="BV42" s="13">
        <v>5</v>
      </c>
      <c r="BW42" s="13">
        <v>6</v>
      </c>
      <c r="BX42" s="13">
        <v>2</v>
      </c>
      <c r="BY42" s="13">
        <v>6</v>
      </c>
      <c r="BZ42" s="13">
        <v>1</v>
      </c>
      <c r="CA42" s="13">
        <v>2</v>
      </c>
      <c r="CB42" s="13">
        <v>20</v>
      </c>
      <c r="CC42" s="13">
        <v>40</v>
      </c>
      <c r="CD42" s="13">
        <v>0</v>
      </c>
      <c r="CE42" s="14">
        <f>AVERAGE(BF42:CD42)</f>
        <v>8.76</v>
      </c>
      <c r="CF42" s="41">
        <f>_xlfn.STDEV.P(BF42:CD42)</f>
        <v>10.072854610287989</v>
      </c>
      <c r="CG42" s="17">
        <f>MAX(BF42:CD42)</f>
        <v>40</v>
      </c>
      <c r="CH42" s="17">
        <f>AVERAGE(CB42:CD42)</f>
        <v>20</v>
      </c>
      <c r="CI42" s="41">
        <f>_xlfn.STDEV.P(CB42:CD42)</f>
        <v>16.329931618554522</v>
      </c>
      <c r="CJ42" s="41">
        <f>MAX(BY42:CD42)</f>
        <v>40</v>
      </c>
      <c r="CL42" s="23">
        <f t="shared" si="6"/>
        <v>0.71938775510204078</v>
      </c>
      <c r="CM42" s="14">
        <f t="shared" si="7"/>
        <v>156</v>
      </c>
      <c r="CN42" s="43">
        <f>100*IF(CM42&gt;0,CM42,0)</f>
        <v>15600</v>
      </c>
      <c r="CO42" s="13">
        <f t="shared" si="8"/>
        <v>156</v>
      </c>
      <c r="CP42" s="43">
        <f>100*IF(CO42&gt;0,CO42,0)</f>
        <v>15600</v>
      </c>
      <c r="CQ42" s="13">
        <f>CE42+2*CF42</f>
        <v>28.905709220575979</v>
      </c>
      <c r="CR42" s="44">
        <f t="shared" si="9"/>
        <v>167.09429077942403</v>
      </c>
      <c r="CS42" s="43">
        <f>100*IF(CR42&gt;0,CR42,0)</f>
        <v>16709.429077942405</v>
      </c>
      <c r="CU42" s="23">
        <f>SUM(BS42:CD42)/(0.8*BA42)</f>
        <v>0.23069371727748689</v>
      </c>
      <c r="CV42" s="14">
        <f>(0.65*AVERAGE(AD42:BA42))-CG42</f>
        <v>225.14583333333337</v>
      </c>
      <c r="CW42" s="43">
        <f>20*IF(CV42&gt;0,CV42,0)</f>
        <v>4502.9166666666679</v>
      </c>
      <c r="CX42" s="13">
        <f>0.8*BA42-CJ42</f>
        <v>571.20000000000005</v>
      </c>
      <c r="CY42" s="43">
        <f>20*IF(CX42&gt;0,CX42,0)</f>
        <v>11424</v>
      </c>
      <c r="CZ42" s="13">
        <f>CE42+2*CF42</f>
        <v>28.905709220575979</v>
      </c>
      <c r="DA42" s="44">
        <f>0.8*BA42-CQ42</f>
        <v>582.29429077942405</v>
      </c>
      <c r="DB42" s="43">
        <f>20*IF(DA42&gt;0,DA42,0)</f>
        <v>11645.885815588481</v>
      </c>
      <c r="DD42" s="23">
        <f t="shared" si="10"/>
        <v>0.15312771503040834</v>
      </c>
      <c r="DE42" s="57">
        <f t="shared" si="16"/>
        <v>34880</v>
      </c>
      <c r="DF42" s="14">
        <f t="shared" si="11"/>
        <v>880.8</v>
      </c>
      <c r="DG42" s="43">
        <f>20*IF(DF42&gt;0,DF42,0)</f>
        <v>17616</v>
      </c>
      <c r="DH42" s="13">
        <f t="shared" si="12"/>
        <v>880.8</v>
      </c>
      <c r="DI42" s="43">
        <f>20*IF(DH42&gt;0,DH42,0)</f>
        <v>17616</v>
      </c>
      <c r="DJ42" s="13">
        <f>CH44+2*CI44</f>
        <v>215.88693269219664</v>
      </c>
      <c r="DK42" s="44">
        <f t="shared" si="13"/>
        <v>704.91306730780332</v>
      </c>
      <c r="DL42" s="43">
        <f>20*IF(DK42&gt;0,DK42,0)</f>
        <v>14098.261346156067</v>
      </c>
      <c r="DN42" s="13">
        <v>0</v>
      </c>
      <c r="DO42" s="13">
        <f>(C42-B42)+(AE42-AD42)+BG42</f>
        <v>-22</v>
      </c>
      <c r="DP42" s="13">
        <f t="shared" si="17"/>
        <v>3</v>
      </c>
      <c r="DQ42" s="13">
        <f t="shared" si="18"/>
        <v>5</v>
      </c>
      <c r="DR42" s="13">
        <f t="shared" si="19"/>
        <v>-4</v>
      </c>
      <c r="DS42" s="13">
        <f t="shared" si="20"/>
        <v>-4</v>
      </c>
      <c r="DT42" s="13">
        <f t="shared" si="21"/>
        <v>58</v>
      </c>
      <c r="DU42" s="13">
        <f t="shared" si="22"/>
        <v>-3</v>
      </c>
      <c r="DV42" s="13">
        <f t="shared" si="23"/>
        <v>-23</v>
      </c>
      <c r="DW42" s="13">
        <f t="shared" si="24"/>
        <v>109</v>
      </c>
      <c r="DX42" s="13">
        <f t="shared" si="25"/>
        <v>104</v>
      </c>
      <c r="DY42" s="13">
        <f t="shared" si="26"/>
        <v>31</v>
      </c>
      <c r="DZ42" s="13">
        <f t="shared" si="27"/>
        <v>2</v>
      </c>
      <c r="EA42" s="13">
        <f t="shared" si="28"/>
        <v>-55</v>
      </c>
      <c r="EB42" s="13">
        <f t="shared" si="29"/>
        <v>289</v>
      </c>
      <c r="EC42" s="13">
        <f t="shared" si="30"/>
        <v>-4</v>
      </c>
      <c r="ED42" s="13">
        <f t="shared" si="31"/>
        <v>7</v>
      </c>
      <c r="EE42" s="13">
        <f t="shared" si="32"/>
        <v>9</v>
      </c>
      <c r="EF42" s="13">
        <f t="shared" si="33"/>
        <v>-27</v>
      </c>
      <c r="EG42" s="13">
        <f t="shared" si="34"/>
        <v>55</v>
      </c>
      <c r="EH42" s="13">
        <f t="shared" si="35"/>
        <v>114</v>
      </c>
      <c r="EI42" s="13">
        <f t="shared" si="36"/>
        <v>101</v>
      </c>
      <c r="EJ42" s="13">
        <f t="shared" si="37"/>
        <v>58</v>
      </c>
      <c r="EK42" s="13">
        <f t="shared" si="38"/>
        <v>-8</v>
      </c>
      <c r="EL42" s="14">
        <f t="shared" si="15"/>
        <v>795</v>
      </c>
    </row>
    <row r="43" spans="1:142" x14ac:dyDescent="0.2">
      <c r="A43" s="12">
        <v>57</v>
      </c>
      <c r="B43" s="13">
        <v>196</v>
      </c>
      <c r="C43" s="13">
        <v>214</v>
      </c>
      <c r="D43" s="13">
        <v>212</v>
      </c>
      <c r="E43" s="13">
        <v>218</v>
      </c>
      <c r="F43" s="13">
        <v>201</v>
      </c>
      <c r="G43" s="13">
        <v>225</v>
      </c>
      <c r="H43" s="13">
        <v>189</v>
      </c>
      <c r="I43" s="13">
        <v>176</v>
      </c>
      <c r="J43" s="13">
        <v>151</v>
      </c>
      <c r="K43" s="13">
        <v>225</v>
      </c>
      <c r="L43" s="13">
        <v>378</v>
      </c>
      <c r="M43" s="13">
        <v>197</v>
      </c>
      <c r="N43" s="13">
        <v>326</v>
      </c>
      <c r="O43" s="13">
        <v>296</v>
      </c>
      <c r="P43" s="13">
        <v>286</v>
      </c>
      <c r="Q43" s="13">
        <v>289</v>
      </c>
      <c r="R43" s="13">
        <v>391</v>
      </c>
      <c r="S43" s="13">
        <v>283</v>
      </c>
      <c r="T43" s="13">
        <v>251</v>
      </c>
      <c r="U43" s="13">
        <v>351</v>
      </c>
      <c r="V43" s="13">
        <v>398</v>
      </c>
      <c r="W43" s="13">
        <v>249</v>
      </c>
      <c r="X43" s="13">
        <v>405</v>
      </c>
      <c r="Y43" s="13">
        <v>256</v>
      </c>
      <c r="Z43" s="14">
        <f>AVERAGE(B43:Y43)</f>
        <v>265.125</v>
      </c>
      <c r="AA43" s="15">
        <f>_xlfn.STDEV.P(B43:Y43)</f>
        <v>73.84630012171678</v>
      </c>
      <c r="AB43" s="13">
        <f t="shared" si="4"/>
        <v>-9.125</v>
      </c>
      <c r="AC43" s="19">
        <f t="shared" si="5"/>
        <v>0.96558227251296558</v>
      </c>
      <c r="AD43" s="14">
        <v>248</v>
      </c>
      <c r="AE43" s="17">
        <v>214</v>
      </c>
      <c r="AF43" s="17">
        <v>168</v>
      </c>
      <c r="AG43" s="17">
        <v>168</v>
      </c>
      <c r="AH43" s="17">
        <v>168</v>
      </c>
      <c r="AI43" s="17">
        <v>299</v>
      </c>
      <c r="AJ43" s="17">
        <v>378</v>
      </c>
      <c r="AK43" s="17">
        <v>264</v>
      </c>
      <c r="AL43" s="17">
        <v>277</v>
      </c>
      <c r="AM43" s="17">
        <v>377</v>
      </c>
      <c r="AN43" s="17">
        <v>545</v>
      </c>
      <c r="AO43" s="17">
        <v>491</v>
      </c>
      <c r="AP43" s="17">
        <v>654</v>
      </c>
      <c r="AQ43" s="17">
        <v>715</v>
      </c>
      <c r="AR43" s="17">
        <v>940</v>
      </c>
      <c r="AS43" s="17">
        <v>1010</v>
      </c>
      <c r="AT43" s="17">
        <v>981</v>
      </c>
      <c r="AU43" s="17">
        <v>1294</v>
      </c>
      <c r="AV43" s="17">
        <v>1186</v>
      </c>
      <c r="AW43" s="17">
        <v>774</v>
      </c>
      <c r="AX43" s="17">
        <v>481</v>
      </c>
      <c r="AY43" s="17">
        <v>916</v>
      </c>
      <c r="AZ43" s="17">
        <v>1218</v>
      </c>
      <c r="BA43" s="40">
        <v>1042</v>
      </c>
      <c r="BB43" s="17">
        <f>AVERAGE(AD43:BA43)</f>
        <v>617</v>
      </c>
      <c r="BC43" s="41">
        <f>_xlfn.STDEV.P(AD43:BB43)</f>
        <v>359.95533056200179</v>
      </c>
      <c r="BD43" s="17">
        <f>BA43-BB43</f>
        <v>425</v>
      </c>
      <c r="BE43" s="42">
        <f>BA43/BB43</f>
        <v>1.6888168557536467</v>
      </c>
      <c r="BF43" s="13">
        <v>36</v>
      </c>
      <c r="BG43" s="13">
        <v>17</v>
      </c>
      <c r="BH43" s="13">
        <v>59</v>
      </c>
      <c r="BI43" s="13">
        <v>3</v>
      </c>
      <c r="BJ43" s="13">
        <v>16</v>
      </c>
      <c r="BK43" s="13">
        <v>13</v>
      </c>
      <c r="BL43" s="13">
        <v>111</v>
      </c>
      <c r="BM43" s="13">
        <v>47</v>
      </c>
      <c r="BN43" s="13">
        <v>145</v>
      </c>
      <c r="BO43" s="13">
        <v>75</v>
      </c>
      <c r="BP43" s="13">
        <v>155</v>
      </c>
      <c r="BQ43" s="13">
        <v>358</v>
      </c>
      <c r="BR43" s="13">
        <v>11</v>
      </c>
      <c r="BS43" s="13">
        <v>249</v>
      </c>
      <c r="BT43" s="13">
        <v>243</v>
      </c>
      <c r="BU43" s="13">
        <v>207</v>
      </c>
      <c r="BV43" s="13">
        <v>69</v>
      </c>
      <c r="BW43" s="13">
        <v>195</v>
      </c>
      <c r="BX43" s="13">
        <v>39</v>
      </c>
      <c r="BY43" s="13">
        <v>67</v>
      </c>
      <c r="BZ43" s="13">
        <v>350</v>
      </c>
      <c r="CA43" s="13">
        <v>356</v>
      </c>
      <c r="CB43" s="13">
        <v>64</v>
      </c>
      <c r="CC43" s="13">
        <v>201</v>
      </c>
      <c r="CD43" s="13">
        <v>88</v>
      </c>
      <c r="CE43" s="14">
        <f>AVERAGE(BF43:CD43)</f>
        <v>126.96</v>
      </c>
      <c r="CF43" s="41">
        <f>_xlfn.STDEV.P(BF43:CD43)</f>
        <v>111.38957940489766</v>
      </c>
      <c r="CG43" s="17">
        <f>MAX(BF43:CD43)</f>
        <v>358</v>
      </c>
      <c r="CH43" s="17">
        <f>AVERAGE(CB43:CD43)</f>
        <v>117.66666666666667</v>
      </c>
      <c r="CI43" s="41">
        <f>_xlfn.STDEV.P(CB43:CD43)</f>
        <v>59.734598200893778</v>
      </c>
      <c r="CJ43" s="41">
        <f>MAX(BY43:CD43)</f>
        <v>356</v>
      </c>
      <c r="CL43" s="23">
        <f t="shared" si="6"/>
        <v>8.3125</v>
      </c>
      <c r="CM43" s="14">
        <f t="shared" si="7"/>
        <v>-102</v>
      </c>
      <c r="CN43" s="43">
        <f>100*IF(CM43&gt;0,CM43,0)</f>
        <v>0</v>
      </c>
      <c r="CO43" s="13">
        <f t="shared" si="8"/>
        <v>-100</v>
      </c>
      <c r="CP43" s="43">
        <f>100*IF(CO43&gt;0,CO43,0)</f>
        <v>0</v>
      </c>
      <c r="CQ43" s="13">
        <f>CE43+2*CF43</f>
        <v>349.7391588097953</v>
      </c>
      <c r="CR43" s="44">
        <f t="shared" si="9"/>
        <v>-93.739158809795299</v>
      </c>
      <c r="CS43" s="43">
        <f>100*IF(CR43&gt;0,CR43,0)</f>
        <v>0</v>
      </c>
      <c r="CU43" s="23">
        <f>SUM(BS43:CD43)/(0.8*BA43)</f>
        <v>2.5527831094049902</v>
      </c>
      <c r="CV43" s="14">
        <f>(0.65*AVERAGE(AD43:BA43))-CG43</f>
        <v>43.050000000000011</v>
      </c>
      <c r="CW43" s="43">
        <f>20*IF(CV43&gt;0,CV43,0)</f>
        <v>861.00000000000023</v>
      </c>
      <c r="CX43" s="13">
        <f>0.8*BA43-CJ43</f>
        <v>477.6</v>
      </c>
      <c r="CY43" s="43">
        <f>20*IF(CX43&gt;0,CX43,0)</f>
        <v>9552</v>
      </c>
      <c r="CZ43" s="13">
        <f>CE43+2*CF43</f>
        <v>349.7391588097953</v>
      </c>
      <c r="DA43" s="44">
        <f>0.8*BA43-CQ43</f>
        <v>483.86084119020472</v>
      </c>
      <c r="DB43" s="43">
        <f>20*IF(DA43&gt;0,DA43,0)</f>
        <v>9677.216823804094</v>
      </c>
      <c r="DD43" s="23">
        <f t="shared" si="10"/>
        <v>1.7067693294834778</v>
      </c>
      <c r="DE43" s="57">
        <f t="shared" si="16"/>
        <v>46440</v>
      </c>
      <c r="DF43" s="14">
        <f t="shared" si="11"/>
        <v>888.8</v>
      </c>
      <c r="DG43" s="43">
        <f>20*IF(DF43&gt;0,DF43,0)</f>
        <v>17776</v>
      </c>
      <c r="DH43" s="13">
        <f t="shared" si="12"/>
        <v>890.8</v>
      </c>
      <c r="DI43" s="43">
        <f>20*IF(DH43&gt;0,DH43,0)</f>
        <v>17816</v>
      </c>
      <c r="DJ43" s="13">
        <f>CH45+2*CI45</f>
        <v>327.39289229232372</v>
      </c>
      <c r="DK43" s="44">
        <f t="shared" si="13"/>
        <v>919.40710770767623</v>
      </c>
      <c r="DL43" s="43">
        <f>20*IF(DK43&gt;0,DK43,0)</f>
        <v>18388.142154153524</v>
      </c>
      <c r="DN43" s="13">
        <v>0</v>
      </c>
      <c r="DO43" s="13">
        <f>(C43-B43)+(AE43-AD43)+BG43</f>
        <v>1</v>
      </c>
      <c r="DP43" s="13">
        <f t="shared" si="17"/>
        <v>11</v>
      </c>
      <c r="DQ43" s="13">
        <f t="shared" si="18"/>
        <v>9</v>
      </c>
      <c r="DR43" s="13">
        <f t="shared" si="19"/>
        <v>-1</v>
      </c>
      <c r="DS43" s="13">
        <f t="shared" si="20"/>
        <v>168</v>
      </c>
      <c r="DT43" s="13">
        <f t="shared" si="21"/>
        <v>154</v>
      </c>
      <c r="DU43" s="13">
        <f t="shared" si="22"/>
        <v>-80</v>
      </c>
      <c r="DV43" s="13">
        <f t="shared" si="23"/>
        <v>133</v>
      </c>
      <c r="DW43" s="13">
        <f t="shared" si="24"/>
        <v>249</v>
      </c>
      <c r="DX43" s="13">
        <f t="shared" si="25"/>
        <v>476</v>
      </c>
      <c r="DY43" s="13">
        <f t="shared" si="26"/>
        <v>123</v>
      </c>
      <c r="DZ43" s="13">
        <f t="shared" si="27"/>
        <v>303</v>
      </c>
      <c r="EA43" s="13">
        <f t="shared" si="28"/>
        <v>280</v>
      </c>
      <c r="EB43" s="13">
        <f t="shared" si="29"/>
        <v>458</v>
      </c>
      <c r="EC43" s="13">
        <f t="shared" si="30"/>
        <v>280</v>
      </c>
      <c r="ED43" s="13">
        <f t="shared" si="31"/>
        <v>142</v>
      </c>
      <c r="EE43" s="13">
        <f t="shared" si="32"/>
        <v>400</v>
      </c>
      <c r="EF43" s="13">
        <f t="shared" si="33"/>
        <v>-101</v>
      </c>
      <c r="EG43" s="13">
        <f t="shared" si="34"/>
        <v>-245</v>
      </c>
      <c r="EH43" s="13">
        <f t="shared" si="35"/>
        <v>104</v>
      </c>
      <c r="EI43" s="13">
        <f t="shared" si="36"/>
        <v>642</v>
      </c>
      <c r="EJ43" s="13">
        <f t="shared" si="37"/>
        <v>522</v>
      </c>
      <c r="EK43" s="13">
        <f t="shared" si="38"/>
        <v>-124</v>
      </c>
      <c r="EL43" s="14">
        <f t="shared" si="15"/>
        <v>3904</v>
      </c>
    </row>
    <row r="44" spans="1:142" x14ac:dyDescent="0.2">
      <c r="A44" s="12">
        <v>58</v>
      </c>
      <c r="B44" s="13">
        <v>211</v>
      </c>
      <c r="C44" s="13">
        <v>152</v>
      </c>
      <c r="D44" s="13">
        <v>166</v>
      </c>
      <c r="E44" s="13">
        <v>176</v>
      </c>
      <c r="F44" s="13">
        <v>174</v>
      </c>
      <c r="G44" s="13">
        <v>126</v>
      </c>
      <c r="H44" s="13">
        <v>144</v>
      </c>
      <c r="I44" s="13">
        <v>130</v>
      </c>
      <c r="J44" s="13">
        <v>153</v>
      </c>
      <c r="K44" s="13">
        <v>142</v>
      </c>
      <c r="L44" s="13">
        <v>150</v>
      </c>
      <c r="M44" s="13">
        <v>149</v>
      </c>
      <c r="N44" s="13">
        <v>153</v>
      </c>
      <c r="O44" s="13">
        <v>195</v>
      </c>
      <c r="P44" s="13">
        <v>199</v>
      </c>
      <c r="Q44" s="13">
        <v>210</v>
      </c>
      <c r="R44" s="13">
        <v>204</v>
      </c>
      <c r="S44" s="13">
        <v>242</v>
      </c>
      <c r="T44" s="13">
        <v>235</v>
      </c>
      <c r="U44" s="13">
        <v>262</v>
      </c>
      <c r="V44" s="13">
        <v>312</v>
      </c>
      <c r="W44" s="13">
        <v>363</v>
      </c>
      <c r="X44" s="13">
        <v>386</v>
      </c>
      <c r="Y44" s="13">
        <v>372</v>
      </c>
      <c r="Z44" s="14">
        <f>AVERAGE(B44:Y44)</f>
        <v>208.58333333333334</v>
      </c>
      <c r="AA44" s="15">
        <f>_xlfn.STDEV.P(B44:Y44)</f>
        <v>76.301985921439524</v>
      </c>
      <c r="AB44" s="13">
        <f t="shared" si="4"/>
        <v>163.41666666666666</v>
      </c>
      <c r="AC44" s="19">
        <f t="shared" si="5"/>
        <v>1.7834598481821813</v>
      </c>
      <c r="AD44" s="14">
        <v>423</v>
      </c>
      <c r="AE44" s="17">
        <v>428</v>
      </c>
      <c r="AF44" s="17">
        <v>428</v>
      </c>
      <c r="AG44" s="17">
        <v>403</v>
      </c>
      <c r="AH44" s="17">
        <v>396</v>
      </c>
      <c r="AI44" s="17">
        <v>359</v>
      </c>
      <c r="AJ44" s="17">
        <v>409</v>
      </c>
      <c r="AK44" s="17">
        <v>400</v>
      </c>
      <c r="AL44" s="17">
        <v>358</v>
      </c>
      <c r="AM44" s="17">
        <v>364</v>
      </c>
      <c r="AN44" s="17">
        <v>375</v>
      </c>
      <c r="AO44" s="17">
        <v>476</v>
      </c>
      <c r="AP44" s="17">
        <v>512</v>
      </c>
      <c r="AQ44" s="17">
        <v>742</v>
      </c>
      <c r="AR44" s="17">
        <v>742</v>
      </c>
      <c r="AS44" s="17">
        <v>856</v>
      </c>
      <c r="AT44" s="17">
        <v>883</v>
      </c>
      <c r="AU44" s="17">
        <v>972</v>
      </c>
      <c r="AV44" s="17">
        <v>779</v>
      </c>
      <c r="AW44" s="17">
        <v>754</v>
      </c>
      <c r="AX44" s="17">
        <v>1883</v>
      </c>
      <c r="AY44" s="17">
        <v>2119</v>
      </c>
      <c r="AZ44" s="17">
        <v>1916</v>
      </c>
      <c r="BA44" s="40">
        <v>2399</v>
      </c>
      <c r="BB44" s="17">
        <f>AVERAGE(AD44:BA44)</f>
        <v>807.33333333333337</v>
      </c>
      <c r="BC44" s="41">
        <f>_xlfn.STDEV.P(AD44:BB44)</f>
        <v>592.06754119216282</v>
      </c>
      <c r="BD44" s="17">
        <f>BA44-BB44</f>
        <v>1591.6666666666665</v>
      </c>
      <c r="BE44" s="42">
        <f>BA44/BB44</f>
        <v>2.9715111478117255</v>
      </c>
      <c r="BF44" s="13">
        <v>30</v>
      </c>
      <c r="BG44" s="13">
        <v>64</v>
      </c>
      <c r="BH44" s="13">
        <v>2</v>
      </c>
      <c r="BI44" s="13">
        <v>3</v>
      </c>
      <c r="BJ44" s="13">
        <v>1</v>
      </c>
      <c r="BK44" s="13">
        <v>30</v>
      </c>
      <c r="BL44" s="13">
        <v>10</v>
      </c>
      <c r="BM44" s="13">
        <v>0</v>
      </c>
      <c r="BN44" s="13">
        <v>30</v>
      </c>
      <c r="BO44" s="13">
        <v>40</v>
      </c>
      <c r="BP44" s="13">
        <v>8</v>
      </c>
      <c r="BQ44" s="13">
        <v>6</v>
      </c>
      <c r="BR44" s="13">
        <v>2</v>
      </c>
      <c r="BS44" s="13">
        <v>56</v>
      </c>
      <c r="BT44" s="13">
        <v>86</v>
      </c>
      <c r="BU44" s="13">
        <v>0</v>
      </c>
      <c r="BV44" s="13">
        <v>29</v>
      </c>
      <c r="BW44" s="13">
        <v>37</v>
      </c>
      <c r="BX44" s="13">
        <v>4</v>
      </c>
      <c r="BY44" s="13">
        <v>64</v>
      </c>
      <c r="BZ44" s="13">
        <v>105</v>
      </c>
      <c r="CA44" s="13">
        <v>87</v>
      </c>
      <c r="CB44" s="13">
        <v>148</v>
      </c>
      <c r="CC44" s="13">
        <v>119</v>
      </c>
      <c r="CD44" s="13">
        <v>2</v>
      </c>
      <c r="CE44" s="14">
        <f>AVERAGE(BF44:CD44)</f>
        <v>38.520000000000003</v>
      </c>
      <c r="CF44" s="41">
        <f>_xlfn.STDEV.P(BF44:CD44)</f>
        <v>41.490355505828099</v>
      </c>
      <c r="CG44" s="17">
        <f>MAX(BF44:CD44)</f>
        <v>148</v>
      </c>
      <c r="CH44" s="17">
        <f>AVERAGE(CB44:CD44)</f>
        <v>89.666666666666671</v>
      </c>
      <c r="CI44" s="41">
        <f>_xlfn.STDEV.P(CB44:CD44)</f>
        <v>63.110133012764983</v>
      </c>
      <c r="CJ44" s="41">
        <f>MAX(BY44:CD44)</f>
        <v>148</v>
      </c>
      <c r="CL44" s="23">
        <f t="shared" si="6"/>
        <v>1.9811827956989247</v>
      </c>
      <c r="CM44" s="14">
        <f t="shared" si="7"/>
        <v>224</v>
      </c>
      <c r="CN44" s="43">
        <f>100*IF(CM44&gt;0,CM44,0)</f>
        <v>22400</v>
      </c>
      <c r="CO44" s="13">
        <f t="shared" si="8"/>
        <v>224</v>
      </c>
      <c r="CP44" s="43">
        <f>100*IF(CO44&gt;0,CO44,0)</f>
        <v>22400</v>
      </c>
      <c r="CQ44" s="13">
        <f>CE44+2*CF44</f>
        <v>121.50071101165619</v>
      </c>
      <c r="CR44" s="44">
        <f t="shared" si="9"/>
        <v>250.49928898834381</v>
      </c>
      <c r="CS44" s="43">
        <f>100*IF(CR44&gt;0,CR44,0)</f>
        <v>25049.92889883438</v>
      </c>
      <c r="CU44" s="23">
        <f>SUM(BS44:CD44)/(0.8*BA44)</f>
        <v>0.38401417257190495</v>
      </c>
      <c r="CV44" s="14">
        <f>(0.65*AVERAGE(AD44:BA44))-CG44</f>
        <v>376.76666666666677</v>
      </c>
      <c r="CW44" s="43">
        <f>20*IF(CV44&gt;0,CV44,0)</f>
        <v>7535.3333333333358</v>
      </c>
      <c r="CX44" s="13">
        <f>0.8*BA44-CJ44</f>
        <v>1771.2</v>
      </c>
      <c r="CY44" s="43">
        <f>20*IF(CX44&gt;0,CX44,0)</f>
        <v>35424</v>
      </c>
      <c r="CZ44" s="13">
        <f>CE44+2*CF44</f>
        <v>121.50071101165619</v>
      </c>
      <c r="DA44" s="44">
        <f>0.8*BA44-CQ44</f>
        <v>1797.6992889883438</v>
      </c>
      <c r="DB44" s="43">
        <f>20*IF(DA44&gt;0,DA44,0)</f>
        <v>35953.985779766874</v>
      </c>
      <c r="DD44" s="23">
        <f t="shared" si="10"/>
        <v>0.2733071274938812</v>
      </c>
      <c r="DE44" s="57">
        <f t="shared" si="16"/>
        <v>85180</v>
      </c>
      <c r="DF44" s="14">
        <f t="shared" si="11"/>
        <v>2548.6</v>
      </c>
      <c r="DG44" s="43">
        <f>20*IF(DF44&gt;0,DF44,0)</f>
        <v>50972</v>
      </c>
      <c r="DH44" s="13">
        <f t="shared" si="12"/>
        <v>2548.6</v>
      </c>
      <c r="DI44" s="43">
        <f>20*IF(DH44&gt;0,DH44,0)</f>
        <v>50972</v>
      </c>
      <c r="DJ44" s="13">
        <f>CH46+2*CI46</f>
        <v>88.004219240276484</v>
      </c>
      <c r="DK44" s="44">
        <f t="shared" si="13"/>
        <v>2608.5957807597233</v>
      </c>
      <c r="DL44" s="43">
        <f>20*IF(DK44&gt;0,DK44,0)</f>
        <v>52171.915615194463</v>
      </c>
      <c r="DN44" s="13">
        <v>0</v>
      </c>
      <c r="DO44" s="13">
        <f>(C44-B44)+(AE44-AD44)+BG44</f>
        <v>10</v>
      </c>
      <c r="DP44" s="13">
        <f t="shared" si="17"/>
        <v>16</v>
      </c>
      <c r="DQ44" s="13">
        <f t="shared" si="18"/>
        <v>-12</v>
      </c>
      <c r="DR44" s="13">
        <f t="shared" si="19"/>
        <v>-8</v>
      </c>
      <c r="DS44" s="13">
        <f t="shared" si="20"/>
        <v>-55</v>
      </c>
      <c r="DT44" s="13">
        <f t="shared" si="21"/>
        <v>78</v>
      </c>
      <c r="DU44" s="13">
        <f t="shared" si="22"/>
        <v>-23</v>
      </c>
      <c r="DV44" s="13">
        <f t="shared" si="23"/>
        <v>11</v>
      </c>
      <c r="DW44" s="13">
        <f t="shared" si="24"/>
        <v>35</v>
      </c>
      <c r="DX44" s="13">
        <f t="shared" si="25"/>
        <v>27</v>
      </c>
      <c r="DY44" s="13">
        <f t="shared" si="26"/>
        <v>106</v>
      </c>
      <c r="DZ44" s="13">
        <f t="shared" si="27"/>
        <v>42</v>
      </c>
      <c r="EA44" s="13">
        <f t="shared" si="28"/>
        <v>328</v>
      </c>
      <c r="EB44" s="13">
        <f t="shared" si="29"/>
        <v>90</v>
      </c>
      <c r="EC44" s="13">
        <f t="shared" si="30"/>
        <v>125</v>
      </c>
      <c r="ED44" s="13">
        <f t="shared" si="31"/>
        <v>50</v>
      </c>
      <c r="EE44" s="13">
        <f t="shared" si="32"/>
        <v>164</v>
      </c>
      <c r="EF44" s="13">
        <f t="shared" si="33"/>
        <v>-196</v>
      </c>
      <c r="EG44" s="13">
        <f t="shared" si="34"/>
        <v>66</v>
      </c>
      <c r="EH44" s="13">
        <f t="shared" si="35"/>
        <v>1284</v>
      </c>
      <c r="EI44" s="13">
        <f t="shared" si="36"/>
        <v>374</v>
      </c>
      <c r="EJ44" s="13">
        <f t="shared" si="37"/>
        <v>-32</v>
      </c>
      <c r="EK44" s="13">
        <f t="shared" si="38"/>
        <v>588</v>
      </c>
      <c r="EL44" s="14">
        <f t="shared" si="15"/>
        <v>3068</v>
      </c>
    </row>
    <row r="45" spans="1:142" x14ac:dyDescent="0.2">
      <c r="A45" s="12">
        <v>59</v>
      </c>
      <c r="B45" s="13">
        <v>222</v>
      </c>
      <c r="C45" s="13">
        <v>207</v>
      </c>
      <c r="D45" s="13">
        <v>213</v>
      </c>
      <c r="E45" s="13">
        <v>244</v>
      </c>
      <c r="F45" s="13">
        <v>246</v>
      </c>
      <c r="G45" s="13">
        <v>227</v>
      </c>
      <c r="H45" s="13">
        <v>111</v>
      </c>
      <c r="I45" s="13">
        <v>131</v>
      </c>
      <c r="J45" s="13">
        <v>155</v>
      </c>
      <c r="K45" s="13">
        <v>182</v>
      </c>
      <c r="L45" s="13">
        <v>217</v>
      </c>
      <c r="M45" s="13">
        <v>230</v>
      </c>
      <c r="N45" s="13">
        <v>238</v>
      </c>
      <c r="O45" s="13">
        <v>295</v>
      </c>
      <c r="P45" s="13">
        <v>346</v>
      </c>
      <c r="Q45" s="13">
        <v>362</v>
      </c>
      <c r="R45" s="13">
        <v>347</v>
      </c>
      <c r="S45" s="13">
        <v>314</v>
      </c>
      <c r="T45" s="13">
        <v>344</v>
      </c>
      <c r="U45" s="13">
        <v>267</v>
      </c>
      <c r="V45" s="13">
        <v>352</v>
      </c>
      <c r="W45" s="13">
        <v>305</v>
      </c>
      <c r="X45" s="13">
        <v>480</v>
      </c>
      <c r="Y45" s="13">
        <v>376</v>
      </c>
      <c r="Z45" s="14">
        <f>AVERAGE(B45:Y45)</f>
        <v>267.125</v>
      </c>
      <c r="AA45" s="15">
        <f>_xlfn.STDEV.P(B45:Y45)</f>
        <v>85.37384089013058</v>
      </c>
      <c r="AB45" s="13">
        <f t="shared" si="4"/>
        <v>108.875</v>
      </c>
      <c r="AC45" s="19">
        <f t="shared" si="5"/>
        <v>1.4075807206364062</v>
      </c>
      <c r="AD45" s="14">
        <v>776</v>
      </c>
      <c r="AE45" s="17">
        <v>1113</v>
      </c>
      <c r="AF45" s="17">
        <v>869</v>
      </c>
      <c r="AG45" s="17">
        <v>661</v>
      </c>
      <c r="AH45" s="17">
        <v>638</v>
      </c>
      <c r="AI45" s="17">
        <v>503</v>
      </c>
      <c r="AJ45" s="17">
        <v>1049</v>
      </c>
      <c r="AK45" s="17">
        <v>1118</v>
      </c>
      <c r="AL45" s="17">
        <v>562</v>
      </c>
      <c r="AM45" s="17">
        <v>641</v>
      </c>
      <c r="AN45" s="17">
        <v>569</v>
      </c>
      <c r="AO45" s="17">
        <v>943</v>
      </c>
      <c r="AP45" s="17">
        <v>1381</v>
      </c>
      <c r="AQ45" s="17">
        <v>1194</v>
      </c>
      <c r="AR45" s="17">
        <v>1341</v>
      </c>
      <c r="AS45" s="17">
        <v>1455</v>
      </c>
      <c r="AT45" s="17">
        <v>1283</v>
      </c>
      <c r="AU45" s="17">
        <v>1221</v>
      </c>
      <c r="AV45" s="17">
        <v>1044</v>
      </c>
      <c r="AW45" s="17">
        <v>1290</v>
      </c>
      <c r="AX45" s="17">
        <v>684</v>
      </c>
      <c r="AY45" s="17">
        <v>488</v>
      </c>
      <c r="AZ45" s="17">
        <v>678</v>
      </c>
      <c r="BA45" s="40">
        <v>1214</v>
      </c>
      <c r="BB45" s="17">
        <f>AVERAGE(AD45:BA45)</f>
        <v>946.45833333333337</v>
      </c>
      <c r="BC45" s="41">
        <f>_xlfn.STDEV.P(AD45:BB45)</f>
        <v>300.85797036697136</v>
      </c>
      <c r="BD45" s="17">
        <f>BA45-BB45</f>
        <v>267.54166666666663</v>
      </c>
      <c r="BE45" s="42">
        <f>BA45/BB45</f>
        <v>1.2826766453885097</v>
      </c>
      <c r="BF45" s="13">
        <v>67</v>
      </c>
      <c r="BG45" s="13">
        <v>29</v>
      </c>
      <c r="BH45" s="13">
        <v>1</v>
      </c>
      <c r="BI45" s="13">
        <v>3</v>
      </c>
      <c r="BJ45" s="13">
        <v>2</v>
      </c>
      <c r="BK45" s="13">
        <v>19</v>
      </c>
      <c r="BL45" s="13">
        <v>126</v>
      </c>
      <c r="BM45" s="13">
        <v>4</v>
      </c>
      <c r="BN45" s="13">
        <v>24</v>
      </c>
      <c r="BO45" s="13">
        <v>6</v>
      </c>
      <c r="BP45" s="13">
        <v>30</v>
      </c>
      <c r="BQ45" s="13">
        <v>117</v>
      </c>
      <c r="BR45" s="13">
        <v>29</v>
      </c>
      <c r="BS45" s="13">
        <v>47</v>
      </c>
      <c r="BT45" s="13">
        <v>127</v>
      </c>
      <c r="BU45" s="13">
        <v>60</v>
      </c>
      <c r="BV45" s="13">
        <v>128</v>
      </c>
      <c r="BW45" s="13">
        <v>211</v>
      </c>
      <c r="BX45" s="13">
        <v>24</v>
      </c>
      <c r="BY45" s="13">
        <v>54</v>
      </c>
      <c r="BZ45" s="13">
        <v>67</v>
      </c>
      <c r="CA45" s="13">
        <v>222</v>
      </c>
      <c r="CB45" s="13">
        <v>216</v>
      </c>
      <c r="CC45" s="13">
        <v>212</v>
      </c>
      <c r="CD45" s="13">
        <v>28</v>
      </c>
      <c r="CE45" s="14">
        <f>AVERAGE(BF45:CD45)</f>
        <v>74.12</v>
      </c>
      <c r="CF45" s="41">
        <f>_xlfn.STDEV.P(BF45:CD45)</f>
        <v>72.879802414660816</v>
      </c>
      <c r="CG45" s="17">
        <f>MAX(BF45:CD45)</f>
        <v>222</v>
      </c>
      <c r="CH45" s="17">
        <f>AVERAGE(CB45:CD45)</f>
        <v>152</v>
      </c>
      <c r="CI45" s="41">
        <f>_xlfn.STDEV.P(CB45:CD45)</f>
        <v>87.696446146161861</v>
      </c>
      <c r="CJ45" s="41">
        <f>MAX(BY45:CD45)</f>
        <v>222</v>
      </c>
      <c r="CL45" s="23">
        <f t="shared" si="6"/>
        <v>3.7127659574468086</v>
      </c>
      <c r="CM45" s="14">
        <f t="shared" si="7"/>
        <v>154</v>
      </c>
      <c r="CN45" s="43">
        <f>100*IF(CM45&gt;0,CM45,0)</f>
        <v>15400</v>
      </c>
      <c r="CO45" s="13">
        <f t="shared" si="8"/>
        <v>154</v>
      </c>
      <c r="CP45" s="43">
        <f>100*IF(CO45&gt;0,CO45,0)</f>
        <v>15400</v>
      </c>
      <c r="CQ45" s="13">
        <f>CE45+2*CF45</f>
        <v>219.87960482932164</v>
      </c>
      <c r="CR45" s="44">
        <f t="shared" si="9"/>
        <v>156.12039517067836</v>
      </c>
      <c r="CS45" s="43">
        <f>100*IF(CR45&gt;0,CR45,0)</f>
        <v>15612.039517067837</v>
      </c>
      <c r="CU45" s="23">
        <f>SUM(BS45:CD45)/(0.8*BA45)</f>
        <v>1.4373970345963756</v>
      </c>
      <c r="CV45" s="14">
        <f>(0.65*AVERAGE(AD45:BA45))-CG45</f>
        <v>393.19791666666674</v>
      </c>
      <c r="CW45" s="43">
        <f>20*IF(CV45&gt;0,CV45,0)</f>
        <v>7863.9583333333348</v>
      </c>
      <c r="CX45" s="13">
        <f>0.8*BA45-CJ45</f>
        <v>749.2</v>
      </c>
      <c r="CY45" s="43">
        <f>20*IF(CX45&gt;0,CX45,0)</f>
        <v>14984</v>
      </c>
      <c r="CZ45" s="13">
        <f>CE45+2*CF45</f>
        <v>219.87960482932164</v>
      </c>
      <c r="DA45" s="44">
        <f>0.8*BA45-CQ45</f>
        <v>751.32039517067847</v>
      </c>
      <c r="DB45" s="43">
        <f>20*IF(DA45&gt;0,DA45,0)</f>
        <v>15026.407903413568</v>
      </c>
      <c r="DD45" s="23">
        <f t="shared" si="10"/>
        <v>0.92157380512278853</v>
      </c>
      <c r="DE45" s="57">
        <f t="shared" si="16"/>
        <v>61880</v>
      </c>
      <c r="DF45" s="14">
        <f t="shared" si="11"/>
        <v>1292.8</v>
      </c>
      <c r="DG45" s="43">
        <f>20*IF(DF45&gt;0,DF45,0)</f>
        <v>25856</v>
      </c>
      <c r="DH45" s="13">
        <f t="shared" si="12"/>
        <v>1292.8</v>
      </c>
      <c r="DI45" s="43">
        <f>20*IF(DH45&gt;0,DH45,0)</f>
        <v>25856</v>
      </c>
      <c r="DJ45" s="13">
        <f>CH47+2*CI47</f>
        <v>65.266583124346667</v>
      </c>
      <c r="DK45" s="44">
        <f t="shared" si="13"/>
        <v>1449.5334168756533</v>
      </c>
      <c r="DL45" s="43">
        <f>20*IF(DK45&gt;0,DK45,0)</f>
        <v>28990.668337513067</v>
      </c>
      <c r="DN45" s="13">
        <v>0</v>
      </c>
      <c r="DO45" s="13">
        <f>(C45-B45)+(AE45-AD45)+BG45</f>
        <v>351</v>
      </c>
      <c r="DP45" s="13">
        <f t="shared" si="17"/>
        <v>-237</v>
      </c>
      <c r="DQ45" s="13">
        <f t="shared" si="18"/>
        <v>-174</v>
      </c>
      <c r="DR45" s="13">
        <f t="shared" si="19"/>
        <v>-19</v>
      </c>
      <c r="DS45" s="13">
        <f t="shared" si="20"/>
        <v>-135</v>
      </c>
      <c r="DT45" s="13">
        <f t="shared" si="21"/>
        <v>556</v>
      </c>
      <c r="DU45" s="13">
        <f t="shared" si="22"/>
        <v>93</v>
      </c>
      <c r="DV45" s="13">
        <f t="shared" si="23"/>
        <v>-508</v>
      </c>
      <c r="DW45" s="13">
        <f t="shared" si="24"/>
        <v>112</v>
      </c>
      <c r="DX45" s="13">
        <f t="shared" si="25"/>
        <v>-7</v>
      </c>
      <c r="DY45" s="13">
        <f t="shared" si="26"/>
        <v>504</v>
      </c>
      <c r="DZ45" s="13">
        <f t="shared" si="27"/>
        <v>475</v>
      </c>
      <c r="EA45" s="13">
        <f t="shared" si="28"/>
        <v>-83</v>
      </c>
      <c r="EB45" s="13">
        <f t="shared" si="29"/>
        <v>325</v>
      </c>
      <c r="EC45" s="13">
        <f t="shared" si="30"/>
        <v>190</v>
      </c>
      <c r="ED45" s="13">
        <f t="shared" si="31"/>
        <v>-59</v>
      </c>
      <c r="EE45" s="13">
        <f t="shared" si="32"/>
        <v>116</v>
      </c>
      <c r="EF45" s="13">
        <f t="shared" si="33"/>
        <v>-123</v>
      </c>
      <c r="EG45" s="13">
        <f t="shared" si="34"/>
        <v>223</v>
      </c>
      <c r="EH45" s="13">
        <f t="shared" si="35"/>
        <v>-454</v>
      </c>
      <c r="EI45" s="13">
        <f t="shared" si="36"/>
        <v>-21</v>
      </c>
      <c r="EJ45" s="13">
        <f t="shared" si="37"/>
        <v>581</v>
      </c>
      <c r="EK45" s="13">
        <f t="shared" si="38"/>
        <v>644</v>
      </c>
      <c r="EL45" s="14">
        <f t="shared" si="15"/>
        <v>2350</v>
      </c>
    </row>
    <row r="46" spans="1:142" x14ac:dyDescent="0.2">
      <c r="A46" s="12">
        <v>60</v>
      </c>
      <c r="B46" s="13">
        <v>201</v>
      </c>
      <c r="C46" s="13">
        <v>233</v>
      </c>
      <c r="D46" s="13">
        <v>247</v>
      </c>
      <c r="E46" s="13">
        <v>285</v>
      </c>
      <c r="F46" s="13">
        <v>159</v>
      </c>
      <c r="G46" s="13">
        <v>124</v>
      </c>
      <c r="H46" s="13">
        <v>274</v>
      </c>
      <c r="I46" s="13">
        <v>240</v>
      </c>
      <c r="J46" s="13">
        <v>379</v>
      </c>
      <c r="K46" s="13">
        <v>323</v>
      </c>
      <c r="L46" s="13">
        <v>385</v>
      </c>
      <c r="M46" s="13">
        <v>314</v>
      </c>
      <c r="N46" s="13">
        <v>447</v>
      </c>
      <c r="O46" s="13">
        <v>543</v>
      </c>
      <c r="P46" s="13">
        <v>481</v>
      </c>
      <c r="Q46" s="13">
        <v>504</v>
      </c>
      <c r="R46" s="13">
        <v>481</v>
      </c>
      <c r="S46" s="13">
        <v>491</v>
      </c>
      <c r="T46" s="13">
        <v>498</v>
      </c>
      <c r="U46" s="13">
        <v>503</v>
      </c>
      <c r="V46" s="13">
        <v>465</v>
      </c>
      <c r="W46" s="13">
        <v>563</v>
      </c>
      <c r="X46" s="13">
        <v>639</v>
      </c>
      <c r="Y46" s="13">
        <v>568</v>
      </c>
      <c r="Z46" s="14">
        <f>AVERAGE(B46:Y46)</f>
        <v>389.45833333333331</v>
      </c>
      <c r="AA46" s="15">
        <f>_xlfn.STDEV.P(B46:Y46)</f>
        <v>141.77593212726748</v>
      </c>
      <c r="AB46" s="13">
        <f t="shared" si="4"/>
        <v>178.54166666666669</v>
      </c>
      <c r="AC46" s="19">
        <f t="shared" si="5"/>
        <v>1.4584358617738313</v>
      </c>
      <c r="AD46" s="14">
        <v>593</v>
      </c>
      <c r="AE46" s="17">
        <v>590</v>
      </c>
      <c r="AF46" s="17">
        <v>435</v>
      </c>
      <c r="AG46" s="17">
        <v>347</v>
      </c>
      <c r="AH46" s="17">
        <v>528</v>
      </c>
      <c r="AI46" s="17">
        <v>533</v>
      </c>
      <c r="AJ46" s="17">
        <v>1095</v>
      </c>
      <c r="AK46" s="17">
        <v>319</v>
      </c>
      <c r="AL46" s="17">
        <v>1285</v>
      </c>
      <c r="AM46" s="17">
        <v>1178</v>
      </c>
      <c r="AN46" s="17">
        <v>609</v>
      </c>
      <c r="AO46" s="17">
        <v>917</v>
      </c>
      <c r="AP46" s="17">
        <v>2523</v>
      </c>
      <c r="AQ46" s="17">
        <v>2502</v>
      </c>
      <c r="AR46" s="17">
        <v>2559</v>
      </c>
      <c r="AS46" s="17">
        <v>2331</v>
      </c>
      <c r="AT46" s="17">
        <v>3384</v>
      </c>
      <c r="AU46" s="17">
        <v>3698</v>
      </c>
      <c r="AV46" s="17">
        <v>3946</v>
      </c>
      <c r="AW46" s="17">
        <v>3625</v>
      </c>
      <c r="AX46" s="17">
        <v>3658</v>
      </c>
      <c r="AY46" s="17">
        <v>3415</v>
      </c>
      <c r="AZ46" s="17">
        <v>3386</v>
      </c>
      <c r="BA46" s="40">
        <v>3654</v>
      </c>
      <c r="BB46" s="17">
        <f>AVERAGE(AD46:BA46)</f>
        <v>1962.9166666666667</v>
      </c>
      <c r="BC46" s="41">
        <f>_xlfn.STDEV.P(AD46:BB46)</f>
        <v>1310.8225483769093</v>
      </c>
      <c r="BD46" s="17">
        <f>BA46-BB46</f>
        <v>1691.0833333333333</v>
      </c>
      <c r="BE46" s="42">
        <f>BA46/BB46</f>
        <v>1.8615156017830607</v>
      </c>
      <c r="BF46" s="13">
        <v>1</v>
      </c>
      <c r="BG46" s="13">
        <v>34</v>
      </c>
      <c r="BH46" s="13">
        <v>27</v>
      </c>
      <c r="BI46" s="13">
        <v>39</v>
      </c>
      <c r="BJ46" s="13">
        <v>128</v>
      </c>
      <c r="BK46" s="13">
        <v>64</v>
      </c>
      <c r="BL46" s="13">
        <v>233</v>
      </c>
      <c r="BM46" s="13">
        <v>170</v>
      </c>
      <c r="BN46" s="13">
        <v>409</v>
      </c>
      <c r="BO46" s="13">
        <v>440</v>
      </c>
      <c r="BP46" s="13">
        <v>242</v>
      </c>
      <c r="BQ46" s="13">
        <v>466</v>
      </c>
      <c r="BR46" s="13">
        <v>456</v>
      </c>
      <c r="BS46" s="13">
        <v>221</v>
      </c>
      <c r="BT46" s="13">
        <v>175</v>
      </c>
      <c r="BU46" s="13">
        <v>100</v>
      </c>
      <c r="BV46" s="13">
        <v>85</v>
      </c>
      <c r="BW46" s="13">
        <v>0</v>
      </c>
      <c r="BX46" s="13">
        <v>5</v>
      </c>
      <c r="BY46" s="13">
        <v>15</v>
      </c>
      <c r="BZ46" s="13">
        <v>160</v>
      </c>
      <c r="CA46" s="13">
        <v>135</v>
      </c>
      <c r="CB46" s="13">
        <v>40</v>
      </c>
      <c r="CC46" s="13">
        <v>65</v>
      </c>
      <c r="CD46" s="13">
        <v>1</v>
      </c>
      <c r="CE46" s="14">
        <f>AVERAGE(BF46:CD46)</f>
        <v>148.44</v>
      </c>
      <c r="CF46" s="41">
        <f>_xlfn.STDEV.P(BF46:CD46)</f>
        <v>147.96542298794</v>
      </c>
      <c r="CG46" s="17">
        <f>MAX(BF46:CD46)</f>
        <v>466</v>
      </c>
      <c r="CH46" s="17">
        <f>AVERAGE(CB46:CD46)</f>
        <v>35.333333333333336</v>
      </c>
      <c r="CI46" s="41">
        <f>_xlfn.STDEV.P(CB46:CD46)</f>
        <v>26.335442953471574</v>
      </c>
      <c r="CJ46" s="41">
        <f>MAX(BY46:CD46)</f>
        <v>160</v>
      </c>
      <c r="CL46" s="23">
        <f t="shared" si="6"/>
        <v>1.7640845070422535</v>
      </c>
      <c r="CM46" s="14">
        <f t="shared" si="7"/>
        <v>102</v>
      </c>
      <c r="CN46" s="43">
        <f>100*IF(CM46&gt;0,CM46,0)</f>
        <v>10200</v>
      </c>
      <c r="CO46" s="13">
        <f t="shared" si="8"/>
        <v>408</v>
      </c>
      <c r="CP46" s="43">
        <f>100*IF(CO46&gt;0,CO46,0)</f>
        <v>40800</v>
      </c>
      <c r="CQ46" s="13">
        <f>CE46+2*CF46</f>
        <v>444.37084597588</v>
      </c>
      <c r="CR46" s="44">
        <f t="shared" si="9"/>
        <v>123.62915402412</v>
      </c>
      <c r="CS46" s="43">
        <f>100*IF(CR46&gt;0,CR46,0)</f>
        <v>12362.915402412</v>
      </c>
      <c r="CU46" s="23">
        <f>SUM(BS46:CD46)/(0.8*BA46)</f>
        <v>0.34277504105090306</v>
      </c>
      <c r="CV46" s="14">
        <f>(0.65*AVERAGE(AD46:BA46))-CG46</f>
        <v>809.89583333333348</v>
      </c>
      <c r="CW46" s="43">
        <f>20*IF(CV46&gt;0,CV46,0)</f>
        <v>16197.91666666667</v>
      </c>
      <c r="CX46" s="13">
        <f>0.8*BA46-CJ46</f>
        <v>2763.2000000000003</v>
      </c>
      <c r="CY46" s="43">
        <f>20*IF(CX46&gt;0,CX46,0)</f>
        <v>55264.000000000007</v>
      </c>
      <c r="CZ46" s="13">
        <f>CE46+2*CF46</f>
        <v>444.37084597588</v>
      </c>
      <c r="DA46" s="44">
        <f>0.8*BA46-CQ46</f>
        <v>2478.8291540241203</v>
      </c>
      <c r="DB46" s="43">
        <f>20*IF(DA46&gt;0,DA46,0)</f>
        <v>49576.583080482407</v>
      </c>
      <c r="DD46" s="23">
        <f t="shared" si="10"/>
        <v>0.24389056567033396</v>
      </c>
      <c r="DE46" s="57">
        <f t="shared" si="16"/>
        <v>129880</v>
      </c>
      <c r="DF46" s="14">
        <f t="shared" si="11"/>
        <v>3642.3999999999996</v>
      </c>
      <c r="DG46" s="43">
        <f>20*IF(DF46&gt;0,DF46,0)</f>
        <v>72848</v>
      </c>
      <c r="DH46" s="13">
        <f t="shared" si="12"/>
        <v>3948.3999999999996</v>
      </c>
      <c r="DI46" s="43">
        <f>20*IF(DH46&gt;0,DH46,0)</f>
        <v>78968</v>
      </c>
      <c r="DJ46" s="13">
        <f>CH48+2*CI48</f>
        <v>48.547236990991408</v>
      </c>
      <c r="DK46" s="44">
        <f t="shared" si="13"/>
        <v>4059.8527630090084</v>
      </c>
      <c r="DL46" s="43">
        <f>20*IF(DK46&gt;0,DK46,0)</f>
        <v>81197.055260180176</v>
      </c>
      <c r="DN46" s="13">
        <v>0</v>
      </c>
      <c r="DO46" s="13">
        <f>(C46-B46)+(AE46-AD46)+BG46</f>
        <v>63</v>
      </c>
      <c r="DP46" s="13">
        <f t="shared" si="17"/>
        <v>-114</v>
      </c>
      <c r="DQ46" s="13">
        <f t="shared" si="18"/>
        <v>-11</v>
      </c>
      <c r="DR46" s="13">
        <f t="shared" si="19"/>
        <v>183</v>
      </c>
      <c r="DS46" s="13">
        <f t="shared" si="20"/>
        <v>34</v>
      </c>
      <c r="DT46" s="13">
        <f t="shared" si="21"/>
        <v>945</v>
      </c>
      <c r="DU46" s="13">
        <f t="shared" si="22"/>
        <v>-640</v>
      </c>
      <c r="DV46" s="13">
        <f t="shared" si="23"/>
        <v>1514</v>
      </c>
      <c r="DW46" s="13">
        <f t="shared" si="24"/>
        <v>277</v>
      </c>
      <c r="DX46" s="13">
        <f t="shared" si="25"/>
        <v>-265</v>
      </c>
      <c r="DY46" s="13">
        <f t="shared" si="26"/>
        <v>703</v>
      </c>
      <c r="DZ46" s="13">
        <f t="shared" si="27"/>
        <v>2195</v>
      </c>
      <c r="EA46" s="13">
        <f t="shared" si="28"/>
        <v>296</v>
      </c>
      <c r="EB46" s="13">
        <f t="shared" si="29"/>
        <v>170</v>
      </c>
      <c r="EC46" s="13">
        <f t="shared" si="30"/>
        <v>-105</v>
      </c>
      <c r="ED46" s="13">
        <f t="shared" si="31"/>
        <v>1115</v>
      </c>
      <c r="EE46" s="13">
        <f t="shared" si="32"/>
        <v>324</v>
      </c>
      <c r="EF46" s="13">
        <f t="shared" si="33"/>
        <v>260</v>
      </c>
      <c r="EG46" s="13">
        <f t="shared" si="34"/>
        <v>-301</v>
      </c>
      <c r="EH46" s="13">
        <f t="shared" si="35"/>
        <v>155</v>
      </c>
      <c r="EI46" s="13">
        <f t="shared" si="36"/>
        <v>-10</v>
      </c>
      <c r="EJ46" s="13">
        <f t="shared" si="37"/>
        <v>87</v>
      </c>
      <c r="EK46" s="13">
        <f t="shared" si="38"/>
        <v>262</v>
      </c>
      <c r="EL46" s="14">
        <f t="shared" si="15"/>
        <v>7137</v>
      </c>
    </row>
    <row r="47" spans="1:142" x14ac:dyDescent="0.2">
      <c r="A47" s="12">
        <v>61</v>
      </c>
      <c r="B47" s="13">
        <v>242</v>
      </c>
      <c r="C47" s="13">
        <v>217</v>
      </c>
      <c r="D47" s="13">
        <v>276</v>
      </c>
      <c r="E47" s="13">
        <v>324</v>
      </c>
      <c r="F47" s="13">
        <v>317</v>
      </c>
      <c r="G47" s="13">
        <v>252</v>
      </c>
      <c r="H47" s="13">
        <v>370</v>
      </c>
      <c r="I47" s="13">
        <v>322</v>
      </c>
      <c r="J47" s="13">
        <v>379</v>
      </c>
      <c r="K47" s="13">
        <v>297</v>
      </c>
      <c r="L47" s="13">
        <v>327</v>
      </c>
      <c r="M47" s="13">
        <v>236</v>
      </c>
      <c r="N47" s="13">
        <v>325</v>
      </c>
      <c r="O47" s="13">
        <v>451</v>
      </c>
      <c r="P47" s="13">
        <v>350</v>
      </c>
      <c r="Q47" s="13">
        <v>445</v>
      </c>
      <c r="R47" s="13">
        <v>429</v>
      </c>
      <c r="S47" s="13">
        <v>430</v>
      </c>
      <c r="T47" s="13">
        <v>328</v>
      </c>
      <c r="U47" s="13">
        <v>316</v>
      </c>
      <c r="V47" s="13">
        <v>296</v>
      </c>
      <c r="W47" s="13">
        <v>337</v>
      </c>
      <c r="X47" s="13">
        <v>332</v>
      </c>
      <c r="Y47" s="13">
        <v>330</v>
      </c>
      <c r="Z47" s="14">
        <f>AVERAGE(B47:Y47)</f>
        <v>330.33333333333331</v>
      </c>
      <c r="AA47" s="15">
        <f>_xlfn.STDEV.P(B47:Y47)</f>
        <v>62.321522945305361</v>
      </c>
      <c r="AB47" s="13">
        <f t="shared" si="4"/>
        <v>-0.33333333333331439</v>
      </c>
      <c r="AC47" s="19">
        <f t="shared" si="5"/>
        <v>0.99899091826437947</v>
      </c>
      <c r="AD47" s="14">
        <v>368</v>
      </c>
      <c r="AE47" s="17">
        <v>391</v>
      </c>
      <c r="AF47" s="17">
        <v>384</v>
      </c>
      <c r="AG47" s="17">
        <v>287</v>
      </c>
      <c r="AH47" s="17">
        <v>306</v>
      </c>
      <c r="AI47" s="17">
        <v>247</v>
      </c>
      <c r="AJ47" s="17">
        <v>754</v>
      </c>
      <c r="AK47" s="17">
        <v>639</v>
      </c>
      <c r="AL47" s="17">
        <v>977</v>
      </c>
      <c r="AM47" s="17">
        <v>1057</v>
      </c>
      <c r="AN47" s="17">
        <v>1217</v>
      </c>
      <c r="AO47" s="17">
        <v>1437</v>
      </c>
      <c r="AP47" s="17">
        <v>2401</v>
      </c>
      <c r="AQ47" s="17">
        <v>2440</v>
      </c>
      <c r="AR47" s="17">
        <v>2438</v>
      </c>
      <c r="AS47" s="17">
        <v>2842</v>
      </c>
      <c r="AT47" s="17">
        <v>3884</v>
      </c>
      <c r="AU47" s="17">
        <v>4416</v>
      </c>
      <c r="AV47" s="17">
        <v>4960</v>
      </c>
      <c r="AW47" s="17">
        <v>4850</v>
      </c>
      <c r="AX47" s="17">
        <v>4817</v>
      </c>
      <c r="AY47" s="17">
        <v>4671</v>
      </c>
      <c r="AZ47" s="17">
        <v>4673</v>
      </c>
      <c r="BA47" s="40">
        <v>4883</v>
      </c>
      <c r="BB47" s="17">
        <f>AVERAGE(AD47:BA47)</f>
        <v>2305.7916666666665</v>
      </c>
      <c r="BC47" s="41">
        <f>_xlfn.STDEV.P(AD47:BB47)</f>
        <v>1775.6059468061417</v>
      </c>
      <c r="BD47" s="17">
        <f>BA47-BB47</f>
        <v>2577.2083333333335</v>
      </c>
      <c r="BE47" s="42">
        <f>BA47/BB47</f>
        <v>2.1177108368420101</v>
      </c>
      <c r="BF47" s="13">
        <v>1</v>
      </c>
      <c r="BG47" s="13">
        <v>0</v>
      </c>
      <c r="BH47" s="13">
        <v>24</v>
      </c>
      <c r="BI47" s="13">
        <v>31</v>
      </c>
      <c r="BJ47" s="13">
        <v>3</v>
      </c>
      <c r="BK47" s="13">
        <v>21</v>
      </c>
      <c r="BL47" s="13">
        <v>117</v>
      </c>
      <c r="BM47" s="13">
        <v>92</v>
      </c>
      <c r="BN47" s="13">
        <v>20</v>
      </c>
      <c r="BO47" s="13">
        <v>214</v>
      </c>
      <c r="BP47" s="13">
        <v>45</v>
      </c>
      <c r="BQ47" s="13">
        <v>116</v>
      </c>
      <c r="BR47" s="13">
        <v>102</v>
      </c>
      <c r="BS47" s="13">
        <v>100</v>
      </c>
      <c r="BT47" s="13">
        <v>356</v>
      </c>
      <c r="BU47" s="13">
        <v>199</v>
      </c>
      <c r="BV47" s="13">
        <v>80</v>
      </c>
      <c r="BW47" s="13">
        <v>0</v>
      </c>
      <c r="BX47" s="13">
        <v>95</v>
      </c>
      <c r="BY47" s="13">
        <v>17</v>
      </c>
      <c r="BZ47" s="13">
        <v>98</v>
      </c>
      <c r="CA47" s="13">
        <v>107</v>
      </c>
      <c r="CB47" s="13">
        <v>46</v>
      </c>
      <c r="CC47" s="13">
        <v>20</v>
      </c>
      <c r="CD47" s="13">
        <v>50</v>
      </c>
      <c r="CE47" s="14">
        <f>AVERAGE(BF47:CD47)</f>
        <v>78.16</v>
      </c>
      <c r="CF47" s="41">
        <f>_xlfn.STDEV.P(BF47:CD47)</f>
        <v>80.403323314400382</v>
      </c>
      <c r="CG47" s="17">
        <f>MAX(BF47:CD47)</f>
        <v>356</v>
      </c>
      <c r="CH47" s="17">
        <f>AVERAGE(CB47:CD47)</f>
        <v>38.666666666666664</v>
      </c>
      <c r="CI47" s="41">
        <f>_xlfn.STDEV.P(CB47:CD47)</f>
        <v>13.299958228840001</v>
      </c>
      <c r="CJ47" s="41">
        <f>MAX(BY47:CD47)</f>
        <v>107</v>
      </c>
      <c r="CL47" s="23">
        <f t="shared" si="6"/>
        <v>3.5393939393939395</v>
      </c>
      <c r="CM47" s="14">
        <f t="shared" si="7"/>
        <v>-26</v>
      </c>
      <c r="CN47" s="43">
        <f>100*IF(CM47&gt;0,CM47,0)</f>
        <v>0</v>
      </c>
      <c r="CO47" s="13">
        <f t="shared" si="8"/>
        <v>223</v>
      </c>
      <c r="CP47" s="43">
        <f>100*IF(CO47&gt;0,CO47,0)</f>
        <v>22300</v>
      </c>
      <c r="CQ47" s="13">
        <f>CE47+2*CF47</f>
        <v>238.96664662880076</v>
      </c>
      <c r="CR47" s="44">
        <f t="shared" si="9"/>
        <v>91.03335337119924</v>
      </c>
      <c r="CS47" s="43">
        <f>100*IF(CR47&gt;0,CR47,0)</f>
        <v>9103.3353371199246</v>
      </c>
      <c r="CU47" s="23">
        <f>SUM(BS47:CD47)/(0.8*BA47)</f>
        <v>0.2989965185336883</v>
      </c>
      <c r="CV47" s="14">
        <f>(0.65*AVERAGE(AD47:BA47))-CG47</f>
        <v>1142.7645833333333</v>
      </c>
      <c r="CW47" s="43">
        <f>20*IF(CV47&gt;0,CV47,0)</f>
        <v>22855.291666666668</v>
      </c>
      <c r="CX47" s="13">
        <f>0.8*BA47-CJ47</f>
        <v>3799.4</v>
      </c>
      <c r="CY47" s="43">
        <f>20*IF(CX47&gt;0,CX47,0)</f>
        <v>75988</v>
      </c>
      <c r="CZ47" s="13">
        <f>CE47+2*CF47</f>
        <v>238.96664662880076</v>
      </c>
      <c r="DA47" s="44">
        <f>0.8*BA47-CQ47</f>
        <v>3667.4333533711992</v>
      </c>
      <c r="DB47" s="43">
        <f>20*IF(DA47&gt;0,DA47,0)</f>
        <v>73348.667067423987</v>
      </c>
      <c r="DD47" s="23">
        <f t="shared" si="10"/>
        <v>0.22692830775208858</v>
      </c>
      <c r="DE47" s="57">
        <f t="shared" si="16"/>
        <v>130660</v>
      </c>
      <c r="DF47" s="14">
        <f t="shared" si="11"/>
        <v>4791</v>
      </c>
      <c r="DG47" s="43">
        <f>20*IF(DF47&gt;0,DF47,0)</f>
        <v>95820</v>
      </c>
      <c r="DH47" s="13">
        <f t="shared" si="12"/>
        <v>5040</v>
      </c>
      <c r="DI47" s="43">
        <f>20*IF(DH47&gt;0,DH47,0)</f>
        <v>100800</v>
      </c>
      <c r="DJ47" s="13">
        <f>CH49+2*CI49</f>
        <v>0</v>
      </c>
      <c r="DK47" s="44">
        <f t="shared" si="13"/>
        <v>5147</v>
      </c>
      <c r="DL47" s="43">
        <f>20*IF(DK47&gt;0,DK47,0)</f>
        <v>102940</v>
      </c>
      <c r="DN47" s="13">
        <v>0</v>
      </c>
      <c r="DO47" s="13">
        <f>(C47-B47)+(AE47-AD47)+BG47</f>
        <v>-2</v>
      </c>
      <c r="DP47" s="13">
        <f t="shared" si="17"/>
        <v>76</v>
      </c>
      <c r="DQ47" s="13">
        <f t="shared" si="18"/>
        <v>-18</v>
      </c>
      <c r="DR47" s="13">
        <f t="shared" si="19"/>
        <v>15</v>
      </c>
      <c r="DS47" s="13">
        <f t="shared" si="20"/>
        <v>-103</v>
      </c>
      <c r="DT47" s="13">
        <f t="shared" si="21"/>
        <v>742</v>
      </c>
      <c r="DU47" s="13">
        <f t="shared" si="22"/>
        <v>-71</v>
      </c>
      <c r="DV47" s="13">
        <f t="shared" si="23"/>
        <v>415</v>
      </c>
      <c r="DW47" s="13">
        <f t="shared" si="24"/>
        <v>212</v>
      </c>
      <c r="DX47" s="13">
        <f t="shared" si="25"/>
        <v>235</v>
      </c>
      <c r="DY47" s="13">
        <f t="shared" si="26"/>
        <v>245</v>
      </c>
      <c r="DZ47" s="13">
        <f t="shared" si="27"/>
        <v>1155</v>
      </c>
      <c r="EA47" s="13">
        <f t="shared" si="28"/>
        <v>265</v>
      </c>
      <c r="EB47" s="13">
        <f t="shared" si="29"/>
        <v>253</v>
      </c>
      <c r="EC47" s="13">
        <f t="shared" si="30"/>
        <v>698</v>
      </c>
      <c r="ED47" s="13">
        <f t="shared" si="31"/>
        <v>1106</v>
      </c>
      <c r="EE47" s="13">
        <f t="shared" si="32"/>
        <v>533</v>
      </c>
      <c r="EF47" s="13">
        <f t="shared" si="33"/>
        <v>537</v>
      </c>
      <c r="EG47" s="13">
        <f t="shared" si="34"/>
        <v>-105</v>
      </c>
      <c r="EH47" s="13">
        <f t="shared" si="35"/>
        <v>45</v>
      </c>
      <c r="EI47" s="13">
        <f t="shared" si="36"/>
        <v>2</v>
      </c>
      <c r="EJ47" s="13">
        <f t="shared" si="37"/>
        <v>43</v>
      </c>
      <c r="EK47" s="13">
        <f t="shared" si="38"/>
        <v>228</v>
      </c>
      <c r="EL47" s="14">
        <f t="shared" si="15"/>
        <v>6506</v>
      </c>
    </row>
    <row r="48" spans="1:142" x14ac:dyDescent="0.2">
      <c r="A48" s="12">
        <v>62</v>
      </c>
      <c r="B48" s="13">
        <v>177</v>
      </c>
      <c r="C48" s="13">
        <v>264</v>
      </c>
      <c r="D48" s="13">
        <v>391</v>
      </c>
      <c r="E48" s="13">
        <v>461</v>
      </c>
      <c r="F48" s="13">
        <v>401</v>
      </c>
      <c r="G48" s="13">
        <v>253</v>
      </c>
      <c r="H48" s="13">
        <v>281</v>
      </c>
      <c r="I48" s="13">
        <v>165</v>
      </c>
      <c r="J48" s="13">
        <v>268</v>
      </c>
      <c r="K48" s="13">
        <v>332</v>
      </c>
      <c r="L48" s="13">
        <v>283</v>
      </c>
      <c r="M48" s="13">
        <v>428</v>
      </c>
      <c r="N48" s="13">
        <v>532</v>
      </c>
      <c r="O48" s="13">
        <v>446</v>
      </c>
      <c r="P48" s="13">
        <v>328</v>
      </c>
      <c r="Q48" s="13">
        <v>310</v>
      </c>
      <c r="R48" s="13">
        <v>376</v>
      </c>
      <c r="S48" s="13">
        <v>331</v>
      </c>
      <c r="T48" s="13">
        <v>319</v>
      </c>
      <c r="U48" s="13">
        <v>285</v>
      </c>
      <c r="V48" s="13">
        <v>314</v>
      </c>
      <c r="W48" s="13">
        <v>353</v>
      </c>
      <c r="X48" s="13">
        <v>474</v>
      </c>
      <c r="Y48" s="13">
        <v>615</v>
      </c>
      <c r="Z48" s="14">
        <f>AVERAGE(B48:Y48)</f>
        <v>349.45833333333331</v>
      </c>
      <c r="AA48" s="15">
        <f>_xlfn.STDEV.P(B48:Y48)</f>
        <v>103.57967109374739</v>
      </c>
      <c r="AB48" s="13">
        <f t="shared" si="4"/>
        <v>265.54166666666669</v>
      </c>
      <c r="AC48" s="19">
        <f t="shared" si="5"/>
        <v>1.7598664599976155</v>
      </c>
      <c r="AD48" s="14">
        <v>64</v>
      </c>
      <c r="AE48" s="17">
        <v>71</v>
      </c>
      <c r="AF48" s="17">
        <v>228</v>
      </c>
      <c r="AG48" s="17">
        <v>293</v>
      </c>
      <c r="AH48" s="17">
        <v>444</v>
      </c>
      <c r="AI48" s="17">
        <v>373</v>
      </c>
      <c r="AJ48" s="17">
        <v>679</v>
      </c>
      <c r="AK48" s="17">
        <v>464</v>
      </c>
      <c r="AL48" s="17">
        <v>846</v>
      </c>
      <c r="AM48" s="17">
        <v>693</v>
      </c>
      <c r="AN48" s="17">
        <v>874</v>
      </c>
      <c r="AO48" s="17">
        <v>1015</v>
      </c>
      <c r="AP48" s="17">
        <v>2528</v>
      </c>
      <c r="AQ48" s="17">
        <v>2584</v>
      </c>
      <c r="AR48" s="17">
        <v>2539</v>
      </c>
      <c r="AS48" s="17">
        <v>2739</v>
      </c>
      <c r="AT48" s="17">
        <v>3033</v>
      </c>
      <c r="AU48" s="17">
        <v>2795</v>
      </c>
      <c r="AV48" s="17">
        <v>3261</v>
      </c>
      <c r="AW48" s="17">
        <v>3141</v>
      </c>
      <c r="AX48" s="17">
        <v>3153</v>
      </c>
      <c r="AY48" s="17">
        <v>2991</v>
      </c>
      <c r="AZ48" s="17">
        <v>2691</v>
      </c>
      <c r="BA48" s="40">
        <v>3040</v>
      </c>
      <c r="BB48" s="17">
        <f>AVERAGE(AD48:BA48)</f>
        <v>1689.125</v>
      </c>
      <c r="BC48" s="41">
        <f>_xlfn.STDEV.P(AD48:BB48)</f>
        <v>1192.8515184212997</v>
      </c>
      <c r="BD48" s="17">
        <f>BA48-BB48</f>
        <v>1350.875</v>
      </c>
      <c r="BE48" s="42">
        <f>BA48/BB48</f>
        <v>1.7997483904388367</v>
      </c>
      <c r="BF48" s="13">
        <v>0</v>
      </c>
      <c r="BG48" s="13">
        <v>0</v>
      </c>
      <c r="BH48" s="13">
        <v>26</v>
      </c>
      <c r="BI48" s="13">
        <v>136</v>
      </c>
      <c r="BJ48" s="13">
        <v>62</v>
      </c>
      <c r="BK48" s="13">
        <v>162</v>
      </c>
      <c r="BL48" s="13">
        <v>282</v>
      </c>
      <c r="BM48" s="13">
        <v>137</v>
      </c>
      <c r="BN48" s="13">
        <v>254</v>
      </c>
      <c r="BO48" s="13">
        <v>372</v>
      </c>
      <c r="BP48" s="13">
        <v>326</v>
      </c>
      <c r="BQ48" s="13">
        <v>126</v>
      </c>
      <c r="BR48" s="13">
        <v>692</v>
      </c>
      <c r="BS48" s="13">
        <v>337</v>
      </c>
      <c r="BT48" s="13">
        <v>218</v>
      </c>
      <c r="BU48" s="13">
        <v>60</v>
      </c>
      <c r="BV48" s="13">
        <v>20</v>
      </c>
      <c r="BW48" s="13">
        <v>45</v>
      </c>
      <c r="BX48" s="13">
        <v>5</v>
      </c>
      <c r="BY48" s="13">
        <v>45</v>
      </c>
      <c r="BZ48" s="13">
        <v>46</v>
      </c>
      <c r="CA48" s="13">
        <v>69</v>
      </c>
      <c r="CB48" s="13">
        <v>43</v>
      </c>
      <c r="CC48" s="13">
        <v>22</v>
      </c>
      <c r="CD48" s="13">
        <v>25</v>
      </c>
      <c r="CE48" s="14">
        <f>AVERAGE(BF48:CD48)</f>
        <v>140.4</v>
      </c>
      <c r="CF48" s="41">
        <f>_xlfn.STDEV.P(BF48:CD48)</f>
        <v>159.70823397683665</v>
      </c>
      <c r="CG48" s="17">
        <f>MAX(BF48:CD48)</f>
        <v>692</v>
      </c>
      <c r="CH48" s="17">
        <f>AVERAGE(CB48:CD48)</f>
        <v>30</v>
      </c>
      <c r="CI48" s="41">
        <f>_xlfn.STDEV.P(CB48:CD48)</f>
        <v>9.2736184954957039</v>
      </c>
      <c r="CJ48" s="41">
        <f>MAX(BY48:CD48)</f>
        <v>69</v>
      </c>
      <c r="CL48" s="23">
        <f t="shared" si="6"/>
        <v>1.5203252032520325</v>
      </c>
      <c r="CM48" s="14">
        <f t="shared" si="7"/>
        <v>-77</v>
      </c>
      <c r="CN48" s="43">
        <f>100*IF(CM48&gt;0,CM48,0)</f>
        <v>0</v>
      </c>
      <c r="CO48" s="13">
        <f t="shared" si="8"/>
        <v>546</v>
      </c>
      <c r="CP48" s="43">
        <f>100*IF(CO48&gt;0,CO48,0)</f>
        <v>54600</v>
      </c>
      <c r="CQ48" s="13">
        <f>CE48+2*CF48</f>
        <v>459.81646795367328</v>
      </c>
      <c r="CR48" s="44">
        <f t="shared" si="9"/>
        <v>155.18353204632672</v>
      </c>
      <c r="CS48" s="43">
        <f>100*IF(CR48&gt;0,CR48,0)</f>
        <v>15518.353204632673</v>
      </c>
      <c r="CU48" s="23">
        <f>SUM(BS48:CD48)/(0.8*BA48)</f>
        <v>0.38445723684210525</v>
      </c>
      <c r="CV48" s="14">
        <f>(0.65*AVERAGE(AD48:BA48))-CG48</f>
        <v>405.93125000000009</v>
      </c>
      <c r="CW48" s="43">
        <f>20*IF(CV48&gt;0,CV48,0)</f>
        <v>8118.6250000000018</v>
      </c>
      <c r="CX48" s="13">
        <f>0.8*BA48-CJ48</f>
        <v>2363</v>
      </c>
      <c r="CY48" s="43">
        <f>20*IF(CX48&gt;0,CX48,0)</f>
        <v>47260</v>
      </c>
      <c r="CZ48" s="13">
        <f>CE48+2*CF48</f>
        <v>459.81646795367328</v>
      </c>
      <c r="DA48" s="44">
        <f>0.8*BA48-CQ48</f>
        <v>1972.1835320463267</v>
      </c>
      <c r="DB48" s="43">
        <f>20*IF(DA48&gt;0,DA48,0)</f>
        <v>39443.670640926532</v>
      </c>
      <c r="DD48" s="23">
        <f t="shared" si="10"/>
        <v>0.264722536806342</v>
      </c>
      <c r="DE48" s="57">
        <f t="shared" si="16"/>
        <v>122300</v>
      </c>
      <c r="DF48" s="14">
        <f t="shared" si="11"/>
        <v>2840</v>
      </c>
      <c r="DG48" s="43">
        <f>20*IF(DF48&gt;0,DF48,0)</f>
        <v>56800</v>
      </c>
      <c r="DH48" s="13">
        <f t="shared" si="12"/>
        <v>3463</v>
      </c>
      <c r="DI48" s="43">
        <f>20*IF(DH48&gt;0,DH48,0)</f>
        <v>69260</v>
      </c>
      <c r="DJ48" s="13">
        <f>CH50+2*CI50</f>
        <v>0</v>
      </c>
      <c r="DK48" s="44">
        <f t="shared" si="13"/>
        <v>3532</v>
      </c>
      <c r="DL48" s="43">
        <f>20*IF(DK48&gt;0,DK48,0)</f>
        <v>70640</v>
      </c>
      <c r="DN48" s="13">
        <v>0</v>
      </c>
      <c r="DO48" s="13">
        <f>(C48-B48)+(AE48-AD48)+BG48</f>
        <v>94</v>
      </c>
      <c r="DP48" s="13">
        <f t="shared" si="17"/>
        <v>310</v>
      </c>
      <c r="DQ48" s="13">
        <f t="shared" si="18"/>
        <v>271</v>
      </c>
      <c r="DR48" s="13">
        <f t="shared" si="19"/>
        <v>153</v>
      </c>
      <c r="DS48" s="13">
        <f t="shared" si="20"/>
        <v>-57</v>
      </c>
      <c r="DT48" s="13">
        <f t="shared" si="21"/>
        <v>616</v>
      </c>
      <c r="DU48" s="13">
        <f t="shared" si="22"/>
        <v>-194</v>
      </c>
      <c r="DV48" s="13">
        <f t="shared" si="23"/>
        <v>739</v>
      </c>
      <c r="DW48" s="13">
        <f t="shared" si="24"/>
        <v>283</v>
      </c>
      <c r="DX48" s="13">
        <f t="shared" si="25"/>
        <v>458</v>
      </c>
      <c r="DY48" s="13">
        <f t="shared" si="26"/>
        <v>412</v>
      </c>
      <c r="DZ48" s="13">
        <f t="shared" si="27"/>
        <v>2309</v>
      </c>
      <c r="EA48" s="13">
        <f t="shared" si="28"/>
        <v>307</v>
      </c>
      <c r="EB48" s="13">
        <f t="shared" si="29"/>
        <v>55</v>
      </c>
      <c r="EC48" s="13">
        <f t="shared" si="30"/>
        <v>242</v>
      </c>
      <c r="ED48" s="13">
        <f t="shared" si="31"/>
        <v>380</v>
      </c>
      <c r="EE48" s="13">
        <f t="shared" si="32"/>
        <v>-238</v>
      </c>
      <c r="EF48" s="13">
        <f t="shared" si="33"/>
        <v>459</v>
      </c>
      <c r="EG48" s="13">
        <f t="shared" si="34"/>
        <v>-109</v>
      </c>
      <c r="EH48" s="13">
        <f t="shared" si="35"/>
        <v>87</v>
      </c>
      <c r="EI48" s="13">
        <f t="shared" si="36"/>
        <v>-54</v>
      </c>
      <c r="EJ48" s="13">
        <f t="shared" si="37"/>
        <v>-136</v>
      </c>
      <c r="EK48" s="13">
        <f t="shared" si="38"/>
        <v>512</v>
      </c>
      <c r="EL48" s="14">
        <f t="shared" si="15"/>
        <v>6899</v>
      </c>
    </row>
    <row r="49" spans="1:142" x14ac:dyDescent="0.2">
      <c r="A49" s="12">
        <v>63</v>
      </c>
      <c r="B49" s="13">
        <v>66</v>
      </c>
      <c r="C49" s="13">
        <v>36</v>
      </c>
      <c r="D49" s="13">
        <v>95</v>
      </c>
      <c r="E49" s="13">
        <v>170</v>
      </c>
      <c r="F49" s="13">
        <v>170</v>
      </c>
      <c r="G49" s="13">
        <v>172</v>
      </c>
      <c r="H49" s="13">
        <v>203</v>
      </c>
      <c r="I49" s="13">
        <v>228</v>
      </c>
      <c r="J49" s="13">
        <v>222</v>
      </c>
      <c r="K49" s="13">
        <v>175</v>
      </c>
      <c r="L49" s="13">
        <v>187</v>
      </c>
      <c r="M49" s="13">
        <v>220</v>
      </c>
      <c r="N49" s="13">
        <v>240</v>
      </c>
      <c r="O49" s="13">
        <v>458</v>
      </c>
      <c r="P49" s="13">
        <v>257</v>
      </c>
      <c r="Q49" s="13">
        <v>252</v>
      </c>
      <c r="R49" s="13">
        <v>253</v>
      </c>
      <c r="S49" s="13">
        <v>255</v>
      </c>
      <c r="T49" s="13">
        <v>255</v>
      </c>
      <c r="U49" s="13">
        <v>255</v>
      </c>
      <c r="V49" s="13">
        <v>259</v>
      </c>
      <c r="W49" s="13">
        <v>274</v>
      </c>
      <c r="X49" s="13">
        <v>349</v>
      </c>
      <c r="Y49" s="13">
        <v>327</v>
      </c>
      <c r="Z49" s="14">
        <f>AVERAGE(B49:Y49)</f>
        <v>224.08333333333334</v>
      </c>
      <c r="AA49" s="15">
        <f>_xlfn.STDEV.P(B49:Y49)</f>
        <v>86.674639056390404</v>
      </c>
      <c r="AB49" s="13">
        <f t="shared" si="4"/>
        <v>102.91666666666666</v>
      </c>
      <c r="AC49" s="19">
        <f t="shared" si="5"/>
        <v>1.4592785422089996</v>
      </c>
      <c r="AD49" s="14">
        <v>467</v>
      </c>
      <c r="AE49" s="17">
        <v>513</v>
      </c>
      <c r="AF49" s="17">
        <v>739</v>
      </c>
      <c r="AG49" s="17">
        <v>534</v>
      </c>
      <c r="AH49" s="17">
        <v>606</v>
      </c>
      <c r="AI49" s="17">
        <v>639</v>
      </c>
      <c r="AJ49" s="17">
        <v>669</v>
      </c>
      <c r="AK49" s="17">
        <v>728</v>
      </c>
      <c r="AL49" s="17">
        <v>582</v>
      </c>
      <c r="AM49" s="17">
        <v>621</v>
      </c>
      <c r="AN49" s="17">
        <v>686</v>
      </c>
      <c r="AO49" s="17">
        <v>729</v>
      </c>
      <c r="AP49" s="17">
        <v>812</v>
      </c>
      <c r="AQ49" s="17">
        <v>819</v>
      </c>
      <c r="AR49" s="17">
        <v>819</v>
      </c>
      <c r="AS49" s="17">
        <v>913</v>
      </c>
      <c r="AT49" s="17">
        <v>973</v>
      </c>
      <c r="AU49" s="17">
        <v>1022</v>
      </c>
      <c r="AV49" s="17">
        <v>908</v>
      </c>
      <c r="AW49" s="17">
        <v>913</v>
      </c>
      <c r="AX49" s="17">
        <v>913</v>
      </c>
      <c r="AY49" s="17">
        <v>909</v>
      </c>
      <c r="AZ49" s="17">
        <v>862</v>
      </c>
      <c r="BA49" s="40">
        <v>924</v>
      </c>
      <c r="BB49" s="17">
        <f>AVERAGE(AD49:BA49)</f>
        <v>762.5</v>
      </c>
      <c r="BC49" s="41">
        <f>_xlfn.STDEV.P(AD49:BB49)</f>
        <v>152.13678056275543</v>
      </c>
      <c r="BD49" s="17">
        <f>BA49-BB49</f>
        <v>161.5</v>
      </c>
      <c r="BE49" s="42">
        <f>BA49/BB49</f>
        <v>1.2118032786885247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20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2</v>
      </c>
      <c r="CB49" s="13">
        <v>0</v>
      </c>
      <c r="CC49" s="13">
        <v>0</v>
      </c>
      <c r="CD49" s="13">
        <v>0</v>
      </c>
      <c r="CE49" s="14">
        <f>AVERAGE(BF49:CD49)</f>
        <v>0.88</v>
      </c>
      <c r="CF49" s="41">
        <f>_xlfn.STDEV.P(BF49:CD49)</f>
        <v>3.9224482150820039</v>
      </c>
      <c r="CG49" s="17">
        <f>MAX(BF49:CD49)</f>
        <v>20</v>
      </c>
      <c r="CH49" s="17">
        <f>AVERAGE(CB49:CD49)</f>
        <v>0</v>
      </c>
      <c r="CI49" s="41">
        <f>_xlfn.STDEV.P(CB49:CD49)</f>
        <v>0</v>
      </c>
      <c r="CJ49" s="41">
        <f>MAX(BY49:CD49)</f>
        <v>2</v>
      </c>
      <c r="CL49" s="23">
        <f t="shared" si="6"/>
        <v>6.1162079510703364E-3</v>
      </c>
      <c r="CM49" s="14">
        <f t="shared" si="7"/>
        <v>307</v>
      </c>
      <c r="CN49" s="43">
        <f>100*IF(CM49&gt;0,CM49,0)</f>
        <v>30700</v>
      </c>
      <c r="CO49" s="13">
        <f t="shared" si="8"/>
        <v>325</v>
      </c>
      <c r="CP49" s="43">
        <f>100*IF(CO49&gt;0,CO49,0)</f>
        <v>32500</v>
      </c>
      <c r="CQ49" s="13">
        <f>CE49+2*CF49</f>
        <v>8.7248964301640086</v>
      </c>
      <c r="CR49" s="44">
        <f t="shared" si="9"/>
        <v>318.27510356983601</v>
      </c>
      <c r="CS49" s="43">
        <f>100*IF(CR49&gt;0,CR49,0)</f>
        <v>31827.510356983599</v>
      </c>
      <c r="CU49" s="23">
        <f>SUM(BS49:CD49)/(0.8*BA49)</f>
        <v>2.7056277056277055E-3</v>
      </c>
      <c r="CV49" s="14">
        <f>(0.65*AVERAGE(AD49:BA49))-CG49</f>
        <v>475.625</v>
      </c>
      <c r="CW49" s="43">
        <f>20*IF(CV49&gt;0,CV49,0)</f>
        <v>9512.5</v>
      </c>
      <c r="CX49" s="13">
        <f>0.8*BA49-CJ49</f>
        <v>737.2</v>
      </c>
      <c r="CY49" s="43">
        <f>20*IF(CX49&gt;0,CX49,0)</f>
        <v>14744</v>
      </c>
      <c r="CZ49" s="13">
        <f>CE49+2*CF49</f>
        <v>8.7248964301640086</v>
      </c>
      <c r="DA49" s="44">
        <f>0.8*BA49-CQ49</f>
        <v>730.47510356983605</v>
      </c>
      <c r="DB49" s="43">
        <f>20*IF(DA49&gt;0,DA49,0)</f>
        <v>14609.502071396721</v>
      </c>
      <c r="DD49" s="23">
        <f t="shared" si="10"/>
        <v>1.6869095816464238E-3</v>
      </c>
      <c r="DE49" s="57">
        <f t="shared" si="16"/>
        <v>51180</v>
      </c>
      <c r="DF49" s="14">
        <f t="shared" si="11"/>
        <v>1165.5999999999999</v>
      </c>
      <c r="DG49" s="43">
        <f>20*IF(DF49&gt;0,DF49,0)</f>
        <v>23312</v>
      </c>
      <c r="DH49" s="13">
        <f t="shared" si="12"/>
        <v>1183.5999999999999</v>
      </c>
      <c r="DI49" s="43">
        <f>20*IF(DH49&gt;0,DH49,0)</f>
        <v>23672</v>
      </c>
      <c r="DJ49" s="13">
        <f>CH51+2*CI51</f>
        <v>0</v>
      </c>
      <c r="DK49" s="44">
        <f t="shared" si="13"/>
        <v>1185.5999999999999</v>
      </c>
      <c r="DL49" s="43">
        <f>20*IF(DK49&gt;0,DK49,0)</f>
        <v>23712</v>
      </c>
      <c r="DN49" s="13">
        <v>0</v>
      </c>
      <c r="DO49" s="13">
        <f>(C49-B49)+(AE49-AD49)+BG49</f>
        <v>16</v>
      </c>
      <c r="DP49" s="13">
        <f t="shared" si="17"/>
        <v>285</v>
      </c>
      <c r="DQ49" s="13">
        <f t="shared" si="18"/>
        <v>-130</v>
      </c>
      <c r="DR49" s="13">
        <f t="shared" si="19"/>
        <v>72</v>
      </c>
      <c r="DS49" s="13">
        <f t="shared" si="20"/>
        <v>35</v>
      </c>
      <c r="DT49" s="13">
        <f t="shared" si="21"/>
        <v>61</v>
      </c>
      <c r="DU49" s="13">
        <f t="shared" si="22"/>
        <v>84</v>
      </c>
      <c r="DV49" s="13">
        <f t="shared" si="23"/>
        <v>-152</v>
      </c>
      <c r="DW49" s="13">
        <f t="shared" si="24"/>
        <v>-8</v>
      </c>
      <c r="DX49" s="13">
        <f t="shared" si="25"/>
        <v>97</v>
      </c>
      <c r="DY49" s="13">
        <f t="shared" si="26"/>
        <v>76</v>
      </c>
      <c r="DZ49" s="13">
        <f t="shared" si="27"/>
        <v>103</v>
      </c>
      <c r="EA49" s="13">
        <f t="shared" si="28"/>
        <v>225</v>
      </c>
      <c r="EB49" s="13">
        <f t="shared" si="29"/>
        <v>-201</v>
      </c>
      <c r="EC49" s="13">
        <f t="shared" si="30"/>
        <v>89</v>
      </c>
      <c r="ED49" s="13">
        <f t="shared" si="31"/>
        <v>61</v>
      </c>
      <c r="EE49" s="13">
        <f t="shared" si="32"/>
        <v>51</v>
      </c>
      <c r="EF49" s="13">
        <f t="shared" si="33"/>
        <v>-114</v>
      </c>
      <c r="EG49" s="13">
        <f t="shared" si="34"/>
        <v>5</v>
      </c>
      <c r="EH49" s="13">
        <f t="shared" si="35"/>
        <v>4</v>
      </c>
      <c r="EI49" s="13">
        <f t="shared" si="36"/>
        <v>13</v>
      </c>
      <c r="EJ49" s="13">
        <f t="shared" si="37"/>
        <v>28</v>
      </c>
      <c r="EK49" s="13">
        <f t="shared" si="38"/>
        <v>40</v>
      </c>
      <c r="EL49" s="14">
        <f t="shared" si="15"/>
        <v>740</v>
      </c>
    </row>
    <row r="50" spans="1:142" x14ac:dyDescent="0.2">
      <c r="A50" s="12">
        <v>64</v>
      </c>
      <c r="B50" s="13">
        <v>1</v>
      </c>
      <c r="C50" s="13">
        <v>1</v>
      </c>
      <c r="D50" s="13">
        <v>1</v>
      </c>
      <c r="E50" s="13">
        <v>7</v>
      </c>
      <c r="F50" s="13">
        <v>7</v>
      </c>
      <c r="G50" s="13">
        <v>7</v>
      </c>
      <c r="H50" s="13">
        <v>7</v>
      </c>
      <c r="I50" s="13">
        <v>7</v>
      </c>
      <c r="J50" s="13">
        <v>15</v>
      </c>
      <c r="K50" s="13">
        <v>19</v>
      </c>
      <c r="L50" s="13">
        <v>19</v>
      </c>
      <c r="M50" s="13">
        <v>20</v>
      </c>
      <c r="N50" s="13">
        <v>21</v>
      </c>
      <c r="O50" s="13">
        <v>20</v>
      </c>
      <c r="P50" s="13">
        <v>17</v>
      </c>
      <c r="Q50" s="13">
        <v>20</v>
      </c>
      <c r="R50" s="13">
        <v>21</v>
      </c>
      <c r="S50" s="13">
        <v>21</v>
      </c>
      <c r="T50" s="13">
        <v>21</v>
      </c>
      <c r="U50" s="13">
        <v>16</v>
      </c>
      <c r="V50" s="13">
        <v>20</v>
      </c>
      <c r="W50" s="13">
        <v>22</v>
      </c>
      <c r="X50" s="13">
        <v>23</v>
      </c>
      <c r="Y50" s="13">
        <v>24</v>
      </c>
      <c r="Z50" s="14">
        <f>AVERAGE(B50:Y50)</f>
        <v>14.875</v>
      </c>
      <c r="AA50" s="15">
        <f>_xlfn.STDEV.P(B50:Y50)</f>
        <v>7.5900839916301326</v>
      </c>
      <c r="AB50" s="13">
        <f t="shared" si="4"/>
        <v>9.125</v>
      </c>
      <c r="AC50" s="19">
        <f t="shared" si="5"/>
        <v>1.6134453781512605</v>
      </c>
      <c r="AD50" s="14">
        <v>2</v>
      </c>
      <c r="AE50" s="17">
        <v>2</v>
      </c>
      <c r="AF50" s="17">
        <v>2</v>
      </c>
      <c r="AG50" s="17">
        <v>3</v>
      </c>
      <c r="AH50" s="17">
        <v>3</v>
      </c>
      <c r="AI50" s="17">
        <v>9</v>
      </c>
      <c r="AJ50" s="17">
        <v>9</v>
      </c>
      <c r="AK50" s="17">
        <v>9</v>
      </c>
      <c r="AL50" s="17">
        <v>9</v>
      </c>
      <c r="AM50" s="17">
        <v>9</v>
      </c>
      <c r="AN50" s="17">
        <v>9</v>
      </c>
      <c r="AO50" s="17">
        <v>9</v>
      </c>
      <c r="AP50" s="17">
        <v>11</v>
      </c>
      <c r="AQ50" s="17">
        <v>11</v>
      </c>
      <c r="AR50" s="17">
        <v>11</v>
      </c>
      <c r="AS50" s="17">
        <v>16</v>
      </c>
      <c r="AT50" s="17">
        <v>16</v>
      </c>
      <c r="AU50" s="17">
        <v>17</v>
      </c>
      <c r="AV50" s="17">
        <v>47</v>
      </c>
      <c r="AW50" s="17">
        <v>50</v>
      </c>
      <c r="AX50" s="17">
        <v>40</v>
      </c>
      <c r="AY50" s="17">
        <v>40</v>
      </c>
      <c r="AZ50" s="17">
        <v>40</v>
      </c>
      <c r="BA50" s="40">
        <v>55</v>
      </c>
      <c r="BB50" s="17">
        <f>AVERAGE(AD50:BA50)</f>
        <v>17.875</v>
      </c>
      <c r="BC50" s="41">
        <f>_xlfn.STDEV.P(AD50:BB50)</f>
        <v>16.280816932820048</v>
      </c>
      <c r="BD50" s="17">
        <f>BA50-BB50</f>
        <v>37.125</v>
      </c>
      <c r="BE50" s="42">
        <f>BA50/BB50</f>
        <v>3.0769230769230771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  <c r="BK50" s="13">
        <v>0</v>
      </c>
      <c r="BL50" s="13">
        <v>0</v>
      </c>
      <c r="BM50" s="13">
        <v>0</v>
      </c>
      <c r="BN50" s="13">
        <v>0</v>
      </c>
      <c r="BO50" s="13">
        <v>0</v>
      </c>
      <c r="BP50" s="13">
        <v>0</v>
      </c>
      <c r="BQ50" s="13">
        <v>0</v>
      </c>
      <c r="BR50" s="13">
        <v>0</v>
      </c>
      <c r="BS50" s="13">
        <v>0</v>
      </c>
      <c r="BT50" s="13">
        <v>1</v>
      </c>
      <c r="BU50" s="13">
        <v>1</v>
      </c>
      <c r="BV50" s="13">
        <v>0</v>
      </c>
      <c r="BW50" s="13">
        <v>0</v>
      </c>
      <c r="BX50" s="13">
        <v>0</v>
      </c>
      <c r="BY50" s="13">
        <v>0</v>
      </c>
      <c r="BZ50" s="13">
        <v>5</v>
      </c>
      <c r="CA50" s="13">
        <v>0</v>
      </c>
      <c r="CB50" s="13">
        <v>0</v>
      </c>
      <c r="CC50" s="13">
        <v>0</v>
      </c>
      <c r="CD50" s="13">
        <v>0</v>
      </c>
      <c r="CE50" s="14">
        <f>AVERAGE(BF50:CD50)</f>
        <v>0.28000000000000003</v>
      </c>
      <c r="CF50" s="41">
        <f>_xlfn.STDEV.P(BF50:CD50)</f>
        <v>1.0007996802557444</v>
      </c>
      <c r="CG50" s="17">
        <f>MAX(BF50:CD50)</f>
        <v>5</v>
      </c>
      <c r="CH50" s="17">
        <f>AVERAGE(CB50:CD50)</f>
        <v>0</v>
      </c>
      <c r="CI50" s="41">
        <f>_xlfn.STDEV.P(CB50:CD50)</f>
        <v>0</v>
      </c>
      <c r="CJ50" s="41">
        <f>MAX(BY50:CD50)</f>
        <v>5</v>
      </c>
      <c r="CL50" s="23">
        <f t="shared" si="6"/>
        <v>0.29166666666666669</v>
      </c>
      <c r="CM50" s="14">
        <f t="shared" si="7"/>
        <v>19</v>
      </c>
      <c r="CN50" s="43">
        <f>100*IF(CM50&gt;0,CM50,0)</f>
        <v>1900</v>
      </c>
      <c r="CO50" s="13">
        <f t="shared" si="8"/>
        <v>19</v>
      </c>
      <c r="CP50" s="43">
        <f>100*IF(CO50&gt;0,CO50,0)</f>
        <v>1900</v>
      </c>
      <c r="CQ50" s="13">
        <f>CE50+2*CF50</f>
        <v>2.281599360511489</v>
      </c>
      <c r="CR50" s="44">
        <f t="shared" si="9"/>
        <v>21.718400639488511</v>
      </c>
      <c r="CS50" s="43">
        <f>100*IF(CR50&gt;0,CR50,0)</f>
        <v>2171.8400639488509</v>
      </c>
      <c r="CU50" s="23">
        <f>SUM(BS50:CD50)/(0.8*BA50)</f>
        <v>0.15909090909090909</v>
      </c>
      <c r="CV50" s="14">
        <f>(0.65*AVERAGE(AD50:BA50))-CG50</f>
        <v>6.6187500000000004</v>
      </c>
      <c r="CW50" s="43">
        <f>20*IF(CV50&gt;0,CV50,0)</f>
        <v>132.375</v>
      </c>
      <c r="CX50" s="13">
        <f>0.8*BA50-CJ50</f>
        <v>39</v>
      </c>
      <c r="CY50" s="43">
        <f>20*IF(CX50&gt;0,CX50,0)</f>
        <v>780</v>
      </c>
      <c r="CZ50" s="13">
        <f>CE50+2*CF50</f>
        <v>2.281599360511489</v>
      </c>
      <c r="DA50" s="44">
        <f>0.8*BA50-CQ50</f>
        <v>41.718400639488507</v>
      </c>
      <c r="DB50" s="43">
        <f>20*IF(DA50&gt;0,DA50,0)</f>
        <v>834.36801278977009</v>
      </c>
      <c r="DD50" s="23">
        <f t="shared" si="10"/>
        <v>9.4339622641509427E-2</v>
      </c>
      <c r="DE50" s="57">
        <f t="shared" si="16"/>
        <v>3500</v>
      </c>
      <c r="DF50" s="14">
        <f t="shared" si="11"/>
        <v>69.2</v>
      </c>
      <c r="DG50" s="43">
        <f>20*IF(DF50&gt;0,DF50,0)</f>
        <v>1384</v>
      </c>
      <c r="DH50" s="13">
        <f t="shared" si="12"/>
        <v>69.2</v>
      </c>
      <c r="DI50" s="43">
        <f>20*IF(DH50&gt;0,DH50,0)</f>
        <v>1384</v>
      </c>
      <c r="DJ50" s="13">
        <f>CH52+2*CI52</f>
        <v>0</v>
      </c>
      <c r="DK50" s="44">
        <f t="shared" si="13"/>
        <v>74.2</v>
      </c>
      <c r="DL50" s="43">
        <f>20*IF(DK50&gt;0,DK50,0)</f>
        <v>1484</v>
      </c>
      <c r="DN50" s="13">
        <v>0</v>
      </c>
      <c r="DO50" s="13">
        <f>(C50-B50)+(AE50-AD50)+BG50</f>
        <v>0</v>
      </c>
      <c r="DP50" s="13">
        <f t="shared" si="17"/>
        <v>0</v>
      </c>
      <c r="DQ50" s="13">
        <f t="shared" si="18"/>
        <v>7</v>
      </c>
      <c r="DR50" s="13">
        <f t="shared" si="19"/>
        <v>0</v>
      </c>
      <c r="DS50" s="13">
        <f t="shared" si="20"/>
        <v>6</v>
      </c>
      <c r="DT50" s="13">
        <f t="shared" si="21"/>
        <v>0</v>
      </c>
      <c r="DU50" s="13">
        <f t="shared" si="22"/>
        <v>0</v>
      </c>
      <c r="DV50" s="13">
        <f t="shared" si="23"/>
        <v>8</v>
      </c>
      <c r="DW50" s="13">
        <f t="shared" si="24"/>
        <v>4</v>
      </c>
      <c r="DX50" s="13">
        <f t="shared" si="25"/>
        <v>0</v>
      </c>
      <c r="DY50" s="13">
        <f t="shared" si="26"/>
        <v>1</v>
      </c>
      <c r="DZ50" s="13">
        <f t="shared" si="27"/>
        <v>3</v>
      </c>
      <c r="EA50" s="13">
        <f t="shared" si="28"/>
        <v>-1</v>
      </c>
      <c r="EB50" s="13">
        <f t="shared" si="29"/>
        <v>-2</v>
      </c>
      <c r="EC50" s="13">
        <f t="shared" si="30"/>
        <v>9</v>
      </c>
      <c r="ED50" s="13">
        <f t="shared" si="31"/>
        <v>1</v>
      </c>
      <c r="EE50" s="13">
        <f t="shared" si="32"/>
        <v>1</v>
      </c>
      <c r="EF50" s="13">
        <f t="shared" si="33"/>
        <v>30</v>
      </c>
      <c r="EG50" s="13">
        <f t="shared" si="34"/>
        <v>-2</v>
      </c>
      <c r="EH50" s="13">
        <f t="shared" si="35"/>
        <v>-1</v>
      </c>
      <c r="EI50" s="13">
        <f t="shared" si="36"/>
        <v>2</v>
      </c>
      <c r="EJ50" s="13">
        <f t="shared" si="37"/>
        <v>1</v>
      </c>
      <c r="EK50" s="13">
        <f t="shared" si="38"/>
        <v>16</v>
      </c>
      <c r="EL50" s="14">
        <f t="shared" si="15"/>
        <v>83</v>
      </c>
    </row>
  </sheetData>
  <autoFilter ref="A3:EL50" xr:uid="{2E79F75D-B596-4416-B9B0-A1CDDC1E000D}"/>
  <sortState ref="CX4:CX25">
    <sortCondition ref="CX4:CX25"/>
  </sortState>
  <mergeCells count="7">
    <mergeCell ref="DN1:EL1"/>
    <mergeCell ref="DD1:DL1"/>
    <mergeCell ref="B1:AC1"/>
    <mergeCell ref="BF1:CJ1"/>
    <mergeCell ref="CL1:CS1"/>
    <mergeCell ref="AD1:BE1"/>
    <mergeCell ref="CU1:DB1"/>
  </mergeCells>
  <conditionalFormatting sqref="CM4:CN50">
    <cfRule type="colorScale" priority="3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O4:CO50">
    <cfRule type="colorScale" priority="3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P4:CP50">
    <cfRule type="colorScale" priority="3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4">
    <cfRule type="colorScale" priority="3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S4:CS50">
    <cfRule type="colorScale" priority="3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R4:CR50">
    <cfRule type="colorScale" priority="3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Q4:CQ50">
    <cfRule type="colorScale" priority="3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M4:CM50">
    <cfRule type="colorScale" priority="3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L4:CL50">
    <cfRule type="colorScale" priority="18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L4:CL50">
    <cfRule type="colorScale" priority="1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13:BA13">
    <cfRule type="colorScale" priority="176">
      <colorScale>
        <cfvo type="min"/>
        <cfvo type="max"/>
        <color rgb="FFFCFCFF"/>
        <color rgb="FFF8696B"/>
      </colorScale>
    </cfRule>
    <cfRule type="colorScale" priority="18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14:BA14">
    <cfRule type="colorScale" priority="175">
      <colorScale>
        <cfvo type="min"/>
        <cfvo type="max"/>
        <color rgb="FFFCFCFF"/>
        <color rgb="FFF8696B"/>
      </colorScale>
    </cfRule>
    <cfRule type="colorScale" priority="17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12:BA12">
    <cfRule type="colorScale" priority="177">
      <colorScale>
        <cfvo type="min"/>
        <cfvo type="max"/>
        <color rgb="FFFCFCFF"/>
        <color rgb="FFF8696B"/>
      </colorScale>
    </cfRule>
    <cfRule type="colorScale" priority="17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D11:BA11">
    <cfRule type="colorScale" priority="174">
      <colorScale>
        <cfvo type="min"/>
        <cfvo type="max"/>
        <color rgb="FFFCFCFF"/>
        <color rgb="FFF8696B"/>
      </colorScale>
    </cfRule>
  </conditionalFormatting>
  <conditionalFormatting sqref="AD10:BA10">
    <cfRule type="colorScale" priority="173">
      <colorScale>
        <cfvo type="min"/>
        <cfvo type="max"/>
        <color rgb="FFFCFCFF"/>
        <color rgb="FFF8696B"/>
      </colorScale>
    </cfRule>
  </conditionalFormatting>
  <conditionalFormatting sqref="AD9:BA9">
    <cfRule type="colorScale" priority="172">
      <colorScale>
        <cfvo type="min"/>
        <cfvo type="max"/>
        <color rgb="FFFCFCFF"/>
        <color rgb="FFF8696B"/>
      </colorScale>
    </cfRule>
  </conditionalFormatting>
  <conditionalFormatting sqref="AD8:BA8">
    <cfRule type="colorScale" priority="171">
      <colorScale>
        <cfvo type="min"/>
        <cfvo type="max"/>
        <color rgb="FFFCFCFF"/>
        <color rgb="FFF8696B"/>
      </colorScale>
    </cfRule>
  </conditionalFormatting>
  <conditionalFormatting sqref="AD7:BA7">
    <cfRule type="colorScale" priority="170">
      <colorScale>
        <cfvo type="min"/>
        <cfvo type="max"/>
        <color rgb="FFFCFCFF"/>
        <color rgb="FFF8696B"/>
      </colorScale>
    </cfRule>
  </conditionalFormatting>
  <conditionalFormatting sqref="AD6:BA6">
    <cfRule type="colorScale" priority="169">
      <colorScale>
        <cfvo type="min"/>
        <cfvo type="max"/>
        <color rgb="FFFCFCFF"/>
        <color rgb="FFF8696B"/>
      </colorScale>
    </cfRule>
  </conditionalFormatting>
  <conditionalFormatting sqref="AD5:BA5">
    <cfRule type="colorScale" priority="168">
      <colorScale>
        <cfvo type="min"/>
        <cfvo type="max"/>
        <color rgb="FFFCFCFF"/>
        <color rgb="FFF8696B"/>
      </colorScale>
    </cfRule>
  </conditionalFormatting>
  <conditionalFormatting sqref="AD4:BA4">
    <cfRule type="colorScale" priority="167">
      <colorScale>
        <cfvo type="min"/>
        <cfvo type="max"/>
        <color rgb="FFFCFCFF"/>
        <color rgb="FFF8696B"/>
      </colorScale>
    </cfRule>
  </conditionalFormatting>
  <conditionalFormatting sqref="AD15:BA15">
    <cfRule type="colorScale" priority="166">
      <colorScale>
        <cfvo type="min"/>
        <cfvo type="max"/>
        <color rgb="FFFCFCFF"/>
        <color rgb="FFF8696B"/>
      </colorScale>
    </cfRule>
  </conditionalFormatting>
  <conditionalFormatting sqref="AD16:BA16">
    <cfRule type="colorScale" priority="165">
      <colorScale>
        <cfvo type="min"/>
        <cfvo type="max"/>
        <color rgb="FFFCFCFF"/>
        <color rgb="FFF8696B"/>
      </colorScale>
    </cfRule>
  </conditionalFormatting>
  <conditionalFormatting sqref="AD17:BA17">
    <cfRule type="colorScale" priority="164">
      <colorScale>
        <cfvo type="min"/>
        <cfvo type="max"/>
        <color rgb="FFFCFCFF"/>
        <color rgb="FFF8696B"/>
      </colorScale>
    </cfRule>
  </conditionalFormatting>
  <conditionalFormatting sqref="AD18:BA18">
    <cfRule type="colorScale" priority="163">
      <colorScale>
        <cfvo type="min"/>
        <cfvo type="max"/>
        <color rgb="FFFCFCFF"/>
        <color rgb="FFF8696B"/>
      </colorScale>
    </cfRule>
  </conditionalFormatting>
  <conditionalFormatting sqref="AD19:BA19">
    <cfRule type="colorScale" priority="162">
      <colorScale>
        <cfvo type="min"/>
        <cfvo type="max"/>
        <color rgb="FFFCFCFF"/>
        <color rgb="FFF8696B"/>
      </colorScale>
    </cfRule>
  </conditionalFormatting>
  <conditionalFormatting sqref="AD20:BA20">
    <cfRule type="colorScale" priority="161">
      <colorScale>
        <cfvo type="min"/>
        <cfvo type="max"/>
        <color rgb="FFFCFCFF"/>
        <color rgb="FFF8696B"/>
      </colorScale>
    </cfRule>
  </conditionalFormatting>
  <conditionalFormatting sqref="AD21:BA21">
    <cfRule type="colorScale" priority="160">
      <colorScale>
        <cfvo type="min"/>
        <cfvo type="max"/>
        <color rgb="FFFCFCFF"/>
        <color rgb="FFF8696B"/>
      </colorScale>
    </cfRule>
  </conditionalFormatting>
  <conditionalFormatting sqref="AD22:BA22">
    <cfRule type="colorScale" priority="159">
      <colorScale>
        <cfvo type="min"/>
        <cfvo type="max"/>
        <color rgb="FFFCFCFF"/>
        <color rgb="FFF8696B"/>
      </colorScale>
    </cfRule>
  </conditionalFormatting>
  <conditionalFormatting sqref="AD23:BA23">
    <cfRule type="colorScale" priority="158">
      <colorScale>
        <cfvo type="min"/>
        <cfvo type="max"/>
        <color rgb="FFFCFCFF"/>
        <color rgb="FFF8696B"/>
      </colorScale>
    </cfRule>
  </conditionalFormatting>
  <conditionalFormatting sqref="AD24:BA24">
    <cfRule type="colorScale" priority="157">
      <colorScale>
        <cfvo type="min"/>
        <cfvo type="max"/>
        <color rgb="FFFCFCFF"/>
        <color rgb="FFF8696B"/>
      </colorScale>
    </cfRule>
  </conditionalFormatting>
  <conditionalFormatting sqref="AD25:BA25">
    <cfRule type="colorScale" priority="156">
      <colorScale>
        <cfvo type="min"/>
        <cfvo type="max"/>
        <color rgb="FFFCFCFF"/>
        <color rgb="FFF8696B"/>
      </colorScale>
    </cfRule>
  </conditionalFormatting>
  <conditionalFormatting sqref="AD26:BA26">
    <cfRule type="colorScale" priority="155">
      <colorScale>
        <cfvo type="min"/>
        <cfvo type="max"/>
        <color rgb="FFFCFCFF"/>
        <color rgb="FFF8696B"/>
      </colorScale>
    </cfRule>
  </conditionalFormatting>
  <conditionalFormatting sqref="AD27:BA27">
    <cfRule type="colorScale" priority="154">
      <colorScale>
        <cfvo type="min"/>
        <cfvo type="max"/>
        <color rgb="FFFCFCFF"/>
        <color rgb="FFF8696B"/>
      </colorScale>
    </cfRule>
  </conditionalFormatting>
  <conditionalFormatting sqref="AD28:BA28">
    <cfRule type="colorScale" priority="153">
      <colorScale>
        <cfvo type="min"/>
        <cfvo type="max"/>
        <color rgb="FFFCFCFF"/>
        <color rgb="FFF8696B"/>
      </colorScale>
    </cfRule>
  </conditionalFormatting>
  <conditionalFormatting sqref="AD29:BA29">
    <cfRule type="colorScale" priority="152">
      <colorScale>
        <cfvo type="min"/>
        <cfvo type="max"/>
        <color rgb="FFFCFCFF"/>
        <color rgb="FFF8696B"/>
      </colorScale>
    </cfRule>
  </conditionalFormatting>
  <conditionalFormatting sqref="AD30:BA30">
    <cfRule type="colorScale" priority="151">
      <colorScale>
        <cfvo type="min"/>
        <cfvo type="max"/>
        <color rgb="FFFCFCFF"/>
        <color rgb="FFF8696B"/>
      </colorScale>
    </cfRule>
  </conditionalFormatting>
  <conditionalFormatting sqref="AD31:BA31">
    <cfRule type="colorScale" priority="150">
      <colorScale>
        <cfvo type="min"/>
        <cfvo type="max"/>
        <color rgb="FFFCFCFF"/>
        <color rgb="FFF8696B"/>
      </colorScale>
    </cfRule>
  </conditionalFormatting>
  <conditionalFormatting sqref="AD32:BA32">
    <cfRule type="colorScale" priority="149">
      <colorScale>
        <cfvo type="min"/>
        <cfvo type="max"/>
        <color rgb="FFFCFCFF"/>
        <color rgb="FFF8696B"/>
      </colorScale>
    </cfRule>
  </conditionalFormatting>
  <conditionalFormatting sqref="AD33:BA33">
    <cfRule type="colorScale" priority="148">
      <colorScale>
        <cfvo type="min"/>
        <cfvo type="max"/>
        <color rgb="FFFCFCFF"/>
        <color rgb="FFF8696B"/>
      </colorScale>
    </cfRule>
  </conditionalFormatting>
  <conditionalFormatting sqref="AD34:BA34">
    <cfRule type="colorScale" priority="147">
      <colorScale>
        <cfvo type="min"/>
        <cfvo type="max"/>
        <color rgb="FFFCFCFF"/>
        <color rgb="FFF8696B"/>
      </colorScale>
    </cfRule>
  </conditionalFormatting>
  <conditionalFormatting sqref="AD35:BA35">
    <cfRule type="colorScale" priority="146">
      <colorScale>
        <cfvo type="min"/>
        <cfvo type="max"/>
        <color rgb="FFFCFCFF"/>
        <color rgb="FFF8696B"/>
      </colorScale>
    </cfRule>
  </conditionalFormatting>
  <conditionalFormatting sqref="AD36:BA36">
    <cfRule type="colorScale" priority="145">
      <colorScale>
        <cfvo type="min"/>
        <cfvo type="max"/>
        <color rgb="FFFCFCFF"/>
        <color rgb="FFF8696B"/>
      </colorScale>
    </cfRule>
  </conditionalFormatting>
  <conditionalFormatting sqref="AD37:BA37">
    <cfRule type="colorScale" priority="144">
      <colorScale>
        <cfvo type="min"/>
        <cfvo type="max"/>
        <color rgb="FFFCFCFF"/>
        <color rgb="FFF8696B"/>
      </colorScale>
    </cfRule>
  </conditionalFormatting>
  <conditionalFormatting sqref="AD38:BA38">
    <cfRule type="colorScale" priority="143">
      <colorScale>
        <cfvo type="min"/>
        <cfvo type="max"/>
        <color rgb="FFFCFCFF"/>
        <color rgb="FFF8696B"/>
      </colorScale>
    </cfRule>
  </conditionalFormatting>
  <conditionalFormatting sqref="AD39:BA39">
    <cfRule type="colorScale" priority="142">
      <colorScale>
        <cfvo type="min"/>
        <cfvo type="max"/>
        <color rgb="FFFCFCFF"/>
        <color rgb="FFF8696B"/>
      </colorScale>
    </cfRule>
  </conditionalFormatting>
  <conditionalFormatting sqref="AD40:BA40">
    <cfRule type="colorScale" priority="141">
      <colorScale>
        <cfvo type="min"/>
        <cfvo type="max"/>
        <color rgb="FFFCFCFF"/>
        <color rgb="FFF8696B"/>
      </colorScale>
    </cfRule>
  </conditionalFormatting>
  <conditionalFormatting sqref="AD41:BA41">
    <cfRule type="colorScale" priority="140">
      <colorScale>
        <cfvo type="min"/>
        <cfvo type="max"/>
        <color rgb="FFFCFCFF"/>
        <color rgb="FFF8696B"/>
      </colorScale>
    </cfRule>
  </conditionalFormatting>
  <conditionalFormatting sqref="AD42:BA42">
    <cfRule type="colorScale" priority="139">
      <colorScale>
        <cfvo type="min"/>
        <cfvo type="max"/>
        <color rgb="FFFCFCFF"/>
        <color rgb="FFF8696B"/>
      </colorScale>
    </cfRule>
  </conditionalFormatting>
  <conditionalFormatting sqref="AD43:BA43">
    <cfRule type="colorScale" priority="138">
      <colorScale>
        <cfvo type="min"/>
        <cfvo type="max"/>
        <color rgb="FFFCFCFF"/>
        <color rgb="FFF8696B"/>
      </colorScale>
    </cfRule>
  </conditionalFormatting>
  <conditionalFormatting sqref="AD44:BA44">
    <cfRule type="colorScale" priority="137">
      <colorScale>
        <cfvo type="min"/>
        <cfvo type="max"/>
        <color rgb="FFFCFCFF"/>
        <color rgb="FFF8696B"/>
      </colorScale>
    </cfRule>
  </conditionalFormatting>
  <conditionalFormatting sqref="AD45:BA45">
    <cfRule type="colorScale" priority="136">
      <colorScale>
        <cfvo type="min"/>
        <cfvo type="max"/>
        <color rgb="FFFCFCFF"/>
        <color rgb="FFF8696B"/>
      </colorScale>
    </cfRule>
  </conditionalFormatting>
  <conditionalFormatting sqref="AD46:BA46">
    <cfRule type="colorScale" priority="135">
      <colorScale>
        <cfvo type="min"/>
        <cfvo type="max"/>
        <color rgb="FFFCFCFF"/>
        <color rgb="FFF8696B"/>
      </colorScale>
    </cfRule>
  </conditionalFormatting>
  <conditionalFormatting sqref="AD47:BA47">
    <cfRule type="colorScale" priority="134">
      <colorScale>
        <cfvo type="min"/>
        <cfvo type="max"/>
        <color rgb="FFFCFCFF"/>
        <color rgb="FFF8696B"/>
      </colorScale>
    </cfRule>
  </conditionalFormatting>
  <conditionalFormatting sqref="AD48:BA48">
    <cfRule type="colorScale" priority="133">
      <colorScale>
        <cfvo type="min"/>
        <cfvo type="max"/>
        <color rgb="FFFCFCFF"/>
        <color rgb="FFF8696B"/>
      </colorScale>
    </cfRule>
  </conditionalFormatting>
  <conditionalFormatting sqref="AD49:BA49">
    <cfRule type="colorScale" priority="132">
      <colorScale>
        <cfvo type="min"/>
        <cfvo type="max"/>
        <color rgb="FFFCFCFF"/>
        <color rgb="FFF8696B"/>
      </colorScale>
    </cfRule>
  </conditionalFormatting>
  <conditionalFormatting sqref="AD50:BA50">
    <cfRule type="colorScale" priority="131">
      <colorScale>
        <cfvo type="min"/>
        <cfvo type="max"/>
        <color rgb="FFFCFCFF"/>
        <color rgb="FFF8696B"/>
      </colorScale>
    </cfRule>
  </conditionalFormatting>
  <conditionalFormatting sqref="AD2:BA2">
    <cfRule type="colorScale" priority="130">
      <colorScale>
        <cfvo type="min"/>
        <cfvo type="max"/>
        <color rgb="FFFCFCFF"/>
        <color rgb="FFF8696B"/>
      </colorScale>
    </cfRule>
  </conditionalFormatting>
  <conditionalFormatting sqref="CV4:CW50">
    <cfRule type="colorScale" priority="1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X4:CX50">
    <cfRule type="colorScale" priority="1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Y4:CY50">
    <cfRule type="colorScale" priority="1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B4">
    <cfRule type="colorScale" priority="1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B4:DB50">
    <cfRule type="colorScale" priority="1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A4:DA50">
    <cfRule type="colorScale" priority="1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Z4:CZ50">
    <cfRule type="colorScale" priority="1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V4:CV50">
    <cfRule type="colorScale" priority="1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U4:CU50">
    <cfRule type="colorScale" priority="1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U4:CU50"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F4:DG50">
    <cfRule type="colorScale" priority="1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H4:DH50">
    <cfRule type="colorScale" priority="1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I4:DI50">
    <cfRule type="colorScale" priority="1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L4">
    <cfRule type="colorScale" priority="1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L4:DL50">
    <cfRule type="colorScale" priority="1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K4:DK50">
    <cfRule type="colorScale" priority="1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J4:DJ50">
    <cfRule type="colorScale" priority="1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F4:DF50">
    <cfRule type="colorScale" priority="1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D4:DD50">
    <cfRule type="colorScale" priority="1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D4:DD50"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E4:DE50">
    <cfRule type="colorScale" priority="10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7:Y7">
    <cfRule type="colorScale" priority="108">
      <colorScale>
        <cfvo type="min"/>
        <cfvo type="max"/>
        <color rgb="FFFCFCFF"/>
        <color rgb="FFF8696B"/>
      </colorScale>
    </cfRule>
  </conditionalFormatting>
  <conditionalFormatting sqref="B6:Y6">
    <cfRule type="colorScale" priority="107">
      <colorScale>
        <cfvo type="min"/>
        <cfvo type="max"/>
        <color rgb="FFFCFCFF"/>
        <color rgb="FFF8696B"/>
      </colorScale>
    </cfRule>
  </conditionalFormatting>
  <conditionalFormatting sqref="B4:Y4">
    <cfRule type="colorScale" priority="416">
      <colorScale>
        <cfvo type="min"/>
        <cfvo type="max"/>
        <color rgb="FFFCFCFF"/>
        <color rgb="FFF8696B"/>
      </colorScale>
    </cfRule>
    <cfRule type="colorScale" priority="4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:Y5">
    <cfRule type="colorScale" priority="418">
      <colorScale>
        <cfvo type="min"/>
        <cfvo type="max"/>
        <color rgb="FFFCFCFF"/>
        <color rgb="FFF8696B"/>
      </colorScale>
    </cfRule>
  </conditionalFormatting>
  <conditionalFormatting sqref="B8:Y8">
    <cfRule type="colorScale" priority="419">
      <colorScale>
        <cfvo type="min"/>
        <cfvo type="max"/>
        <color rgb="FFFCFCFF"/>
        <color rgb="FFF8696B"/>
      </colorScale>
    </cfRule>
  </conditionalFormatting>
  <conditionalFormatting sqref="B9:Y9">
    <cfRule type="colorScale" priority="420">
      <colorScale>
        <cfvo type="min"/>
        <cfvo type="max"/>
        <color rgb="FFFCFCFF"/>
        <color rgb="FFF8696B"/>
      </colorScale>
    </cfRule>
  </conditionalFormatting>
  <conditionalFormatting sqref="B10:Y10">
    <cfRule type="colorScale" priority="421">
      <colorScale>
        <cfvo type="min"/>
        <cfvo type="max"/>
        <color rgb="FFFCFCFF"/>
        <color rgb="FFF8696B"/>
      </colorScale>
    </cfRule>
  </conditionalFormatting>
  <conditionalFormatting sqref="B11:Y11">
    <cfRule type="colorScale" priority="422">
      <colorScale>
        <cfvo type="min"/>
        <cfvo type="max"/>
        <color rgb="FFFCFCFF"/>
        <color rgb="FFF8696B"/>
      </colorScale>
    </cfRule>
  </conditionalFormatting>
  <conditionalFormatting sqref="B12:Y12">
    <cfRule type="colorScale" priority="423">
      <colorScale>
        <cfvo type="min"/>
        <cfvo type="max"/>
        <color rgb="FFFCFCFF"/>
        <color rgb="FFF8696B"/>
      </colorScale>
    </cfRule>
  </conditionalFormatting>
  <conditionalFormatting sqref="B13:Y13">
    <cfRule type="colorScale" priority="424">
      <colorScale>
        <cfvo type="min"/>
        <cfvo type="max"/>
        <color rgb="FFFCFCFF"/>
        <color rgb="FFF8696B"/>
      </colorScale>
    </cfRule>
  </conditionalFormatting>
  <conditionalFormatting sqref="B14:Y14">
    <cfRule type="colorScale" priority="425">
      <colorScale>
        <cfvo type="min"/>
        <cfvo type="max"/>
        <color rgb="FFFCFCFF"/>
        <color rgb="FFF8696B"/>
      </colorScale>
    </cfRule>
  </conditionalFormatting>
  <conditionalFormatting sqref="B15:Y15">
    <cfRule type="colorScale" priority="426">
      <colorScale>
        <cfvo type="min"/>
        <cfvo type="max"/>
        <color rgb="FFFCFCFF"/>
        <color rgb="FFF8696B"/>
      </colorScale>
    </cfRule>
  </conditionalFormatting>
  <conditionalFormatting sqref="B16:Y16">
    <cfRule type="colorScale" priority="427">
      <colorScale>
        <cfvo type="min"/>
        <cfvo type="max"/>
        <color rgb="FFFCFCFF"/>
        <color rgb="FFF8696B"/>
      </colorScale>
    </cfRule>
  </conditionalFormatting>
  <conditionalFormatting sqref="B17:Y17">
    <cfRule type="colorScale" priority="428">
      <colorScale>
        <cfvo type="min"/>
        <cfvo type="max"/>
        <color rgb="FFFCFCFF"/>
        <color rgb="FFF8696B"/>
      </colorScale>
    </cfRule>
  </conditionalFormatting>
  <conditionalFormatting sqref="B18:Y18">
    <cfRule type="colorScale" priority="429">
      <colorScale>
        <cfvo type="min"/>
        <cfvo type="max"/>
        <color rgb="FFFCFCFF"/>
        <color rgb="FFF8696B"/>
      </colorScale>
    </cfRule>
  </conditionalFormatting>
  <conditionalFormatting sqref="B19:Y19">
    <cfRule type="colorScale" priority="430">
      <colorScale>
        <cfvo type="min"/>
        <cfvo type="max"/>
        <color rgb="FFFCFCFF"/>
        <color rgb="FFF8696B"/>
      </colorScale>
    </cfRule>
  </conditionalFormatting>
  <conditionalFormatting sqref="B20:Y20">
    <cfRule type="colorScale" priority="431">
      <colorScale>
        <cfvo type="min"/>
        <cfvo type="max"/>
        <color rgb="FFFCFCFF"/>
        <color rgb="FFF8696B"/>
      </colorScale>
    </cfRule>
  </conditionalFormatting>
  <conditionalFormatting sqref="B21:Y21">
    <cfRule type="colorScale" priority="432">
      <colorScale>
        <cfvo type="min"/>
        <cfvo type="max"/>
        <color rgb="FFFCFCFF"/>
        <color rgb="FFF8696B"/>
      </colorScale>
    </cfRule>
  </conditionalFormatting>
  <conditionalFormatting sqref="B22:Y22">
    <cfRule type="colorScale" priority="433">
      <colorScale>
        <cfvo type="min"/>
        <cfvo type="max"/>
        <color rgb="FFFCFCFF"/>
        <color rgb="FFF8696B"/>
      </colorScale>
    </cfRule>
  </conditionalFormatting>
  <conditionalFormatting sqref="B23:Y23">
    <cfRule type="colorScale" priority="434">
      <colorScale>
        <cfvo type="min"/>
        <cfvo type="max"/>
        <color rgb="FFFCFCFF"/>
        <color rgb="FFF8696B"/>
      </colorScale>
    </cfRule>
  </conditionalFormatting>
  <conditionalFormatting sqref="B24:Y24">
    <cfRule type="colorScale" priority="435">
      <colorScale>
        <cfvo type="min"/>
        <cfvo type="max"/>
        <color rgb="FFFCFCFF"/>
        <color rgb="FFF8696B"/>
      </colorScale>
    </cfRule>
  </conditionalFormatting>
  <conditionalFormatting sqref="B25:Y25">
    <cfRule type="colorScale" priority="436">
      <colorScale>
        <cfvo type="min"/>
        <cfvo type="max"/>
        <color rgb="FFFCFCFF"/>
        <color rgb="FFF8696B"/>
      </colorScale>
    </cfRule>
  </conditionalFormatting>
  <conditionalFormatting sqref="B26:Y26">
    <cfRule type="colorScale" priority="437">
      <colorScale>
        <cfvo type="min"/>
        <cfvo type="max"/>
        <color rgb="FFFCFCFF"/>
        <color rgb="FFF8696B"/>
      </colorScale>
    </cfRule>
  </conditionalFormatting>
  <conditionalFormatting sqref="B27:Y27">
    <cfRule type="colorScale" priority="438">
      <colorScale>
        <cfvo type="min"/>
        <cfvo type="max"/>
        <color rgb="FFFCFCFF"/>
        <color rgb="FFF8696B"/>
      </colorScale>
    </cfRule>
  </conditionalFormatting>
  <conditionalFormatting sqref="B28:Y28">
    <cfRule type="colorScale" priority="439">
      <colorScale>
        <cfvo type="min"/>
        <cfvo type="max"/>
        <color rgb="FFFCFCFF"/>
        <color rgb="FFF8696B"/>
      </colorScale>
    </cfRule>
  </conditionalFormatting>
  <conditionalFormatting sqref="B29:Y29">
    <cfRule type="colorScale" priority="440">
      <colorScale>
        <cfvo type="min"/>
        <cfvo type="max"/>
        <color rgb="FFFCFCFF"/>
        <color rgb="FFF8696B"/>
      </colorScale>
    </cfRule>
  </conditionalFormatting>
  <conditionalFormatting sqref="B30:Y30">
    <cfRule type="colorScale" priority="441">
      <colorScale>
        <cfvo type="min"/>
        <cfvo type="max"/>
        <color rgb="FFFCFCFF"/>
        <color rgb="FFF8696B"/>
      </colorScale>
    </cfRule>
  </conditionalFormatting>
  <conditionalFormatting sqref="B31:Y31">
    <cfRule type="colorScale" priority="442">
      <colorScale>
        <cfvo type="min"/>
        <cfvo type="max"/>
        <color rgb="FFFCFCFF"/>
        <color rgb="FFF8696B"/>
      </colorScale>
    </cfRule>
  </conditionalFormatting>
  <conditionalFormatting sqref="B32:Y32">
    <cfRule type="colorScale" priority="443">
      <colorScale>
        <cfvo type="min"/>
        <cfvo type="max"/>
        <color rgb="FFFCFCFF"/>
        <color rgb="FFF8696B"/>
      </colorScale>
    </cfRule>
  </conditionalFormatting>
  <conditionalFormatting sqref="B33:Y33">
    <cfRule type="colorScale" priority="444">
      <colorScale>
        <cfvo type="min"/>
        <cfvo type="max"/>
        <color rgb="FFFCFCFF"/>
        <color rgb="FFF8696B"/>
      </colorScale>
    </cfRule>
  </conditionalFormatting>
  <conditionalFormatting sqref="B34:Y34">
    <cfRule type="colorScale" priority="445">
      <colorScale>
        <cfvo type="min"/>
        <cfvo type="max"/>
        <color rgb="FFFCFCFF"/>
        <color rgb="FFF8696B"/>
      </colorScale>
    </cfRule>
  </conditionalFormatting>
  <conditionalFormatting sqref="B35:Y35">
    <cfRule type="colorScale" priority="446">
      <colorScale>
        <cfvo type="min"/>
        <cfvo type="max"/>
        <color rgb="FFFCFCFF"/>
        <color rgb="FFF8696B"/>
      </colorScale>
    </cfRule>
  </conditionalFormatting>
  <conditionalFormatting sqref="B36:Y36">
    <cfRule type="colorScale" priority="447">
      <colorScale>
        <cfvo type="min"/>
        <cfvo type="max"/>
        <color rgb="FFFCFCFF"/>
        <color rgb="FFF8696B"/>
      </colorScale>
    </cfRule>
  </conditionalFormatting>
  <conditionalFormatting sqref="B37:Y37">
    <cfRule type="colorScale" priority="448">
      <colorScale>
        <cfvo type="min"/>
        <cfvo type="max"/>
        <color rgb="FFFCFCFF"/>
        <color rgb="FFF8696B"/>
      </colorScale>
    </cfRule>
  </conditionalFormatting>
  <conditionalFormatting sqref="B38:Y38">
    <cfRule type="colorScale" priority="449">
      <colorScale>
        <cfvo type="min"/>
        <cfvo type="max"/>
        <color rgb="FFFCFCFF"/>
        <color rgb="FFF8696B"/>
      </colorScale>
    </cfRule>
  </conditionalFormatting>
  <conditionalFormatting sqref="B39:Y39">
    <cfRule type="colorScale" priority="450">
      <colorScale>
        <cfvo type="min"/>
        <cfvo type="max"/>
        <color rgb="FFFCFCFF"/>
        <color rgb="FFF8696B"/>
      </colorScale>
    </cfRule>
  </conditionalFormatting>
  <conditionalFormatting sqref="B40:Y40">
    <cfRule type="colorScale" priority="451">
      <colorScale>
        <cfvo type="min"/>
        <cfvo type="max"/>
        <color rgb="FFFCFCFF"/>
        <color rgb="FFF8696B"/>
      </colorScale>
    </cfRule>
  </conditionalFormatting>
  <conditionalFormatting sqref="B41:Y41">
    <cfRule type="colorScale" priority="452">
      <colorScale>
        <cfvo type="min"/>
        <cfvo type="max"/>
        <color rgb="FFFCFCFF"/>
        <color rgb="FFF8696B"/>
      </colorScale>
    </cfRule>
  </conditionalFormatting>
  <conditionalFormatting sqref="B42:Y42">
    <cfRule type="colorScale" priority="453">
      <colorScale>
        <cfvo type="min"/>
        <cfvo type="max"/>
        <color rgb="FFFCFCFF"/>
        <color rgb="FFF8696B"/>
      </colorScale>
    </cfRule>
  </conditionalFormatting>
  <conditionalFormatting sqref="B43:Y43">
    <cfRule type="colorScale" priority="454">
      <colorScale>
        <cfvo type="min"/>
        <cfvo type="max"/>
        <color rgb="FFFCFCFF"/>
        <color rgb="FFF8696B"/>
      </colorScale>
    </cfRule>
  </conditionalFormatting>
  <conditionalFormatting sqref="B44:Y44">
    <cfRule type="colorScale" priority="455">
      <colorScale>
        <cfvo type="min"/>
        <cfvo type="max"/>
        <color rgb="FFFCFCFF"/>
        <color rgb="FFF8696B"/>
      </colorScale>
    </cfRule>
  </conditionalFormatting>
  <conditionalFormatting sqref="B45:Y45">
    <cfRule type="colorScale" priority="456">
      <colorScale>
        <cfvo type="min"/>
        <cfvo type="max"/>
        <color rgb="FFFCFCFF"/>
        <color rgb="FFF8696B"/>
      </colorScale>
    </cfRule>
  </conditionalFormatting>
  <conditionalFormatting sqref="B46:Y46">
    <cfRule type="colorScale" priority="457">
      <colorScale>
        <cfvo type="min"/>
        <cfvo type="max"/>
        <color rgb="FFFCFCFF"/>
        <color rgb="FFF8696B"/>
      </colorScale>
    </cfRule>
  </conditionalFormatting>
  <conditionalFormatting sqref="B47:Y47">
    <cfRule type="colorScale" priority="458">
      <colorScale>
        <cfvo type="min"/>
        <cfvo type="max"/>
        <color rgb="FFFCFCFF"/>
        <color rgb="FFF8696B"/>
      </colorScale>
    </cfRule>
  </conditionalFormatting>
  <conditionalFormatting sqref="B48:Y48">
    <cfRule type="colorScale" priority="459">
      <colorScale>
        <cfvo type="min"/>
        <cfvo type="max"/>
        <color rgb="FFFCFCFF"/>
        <color rgb="FFF8696B"/>
      </colorScale>
    </cfRule>
  </conditionalFormatting>
  <conditionalFormatting sqref="B49:Y49">
    <cfRule type="colorScale" priority="460">
      <colorScale>
        <cfvo type="min"/>
        <cfvo type="max"/>
        <color rgb="FFFCFCFF"/>
        <color rgb="FFF8696B"/>
      </colorScale>
    </cfRule>
  </conditionalFormatting>
  <conditionalFormatting sqref="B50:Y50">
    <cfRule type="colorScale" priority="461">
      <colorScale>
        <cfvo type="min"/>
        <cfvo type="max"/>
        <color rgb="FFFCFCFF"/>
        <color rgb="FFF8696B"/>
      </colorScale>
    </cfRule>
  </conditionalFormatting>
  <conditionalFormatting sqref="EL4:EL50">
    <cfRule type="colorScale" priority="9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N4:EK4">
    <cfRule type="colorScale" priority="94">
      <colorScale>
        <cfvo type="min"/>
        <cfvo type="max"/>
        <color rgb="FFFCFCFF"/>
        <color rgb="FFF8696B"/>
      </colorScale>
    </cfRule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5:EK5">
    <cfRule type="colorScale" priority="92">
      <colorScale>
        <cfvo type="min"/>
        <cfvo type="max"/>
        <color rgb="FFFCFCFF"/>
        <color rgb="FFF8696B"/>
      </colorScale>
    </cfRule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6:EK6">
    <cfRule type="colorScale" priority="90">
      <colorScale>
        <cfvo type="min"/>
        <cfvo type="max"/>
        <color rgb="FFFCFCFF"/>
        <color rgb="FFF8696B"/>
      </colorScale>
    </cfRule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7:EK7">
    <cfRule type="colorScale" priority="88">
      <colorScale>
        <cfvo type="min"/>
        <cfvo type="max"/>
        <color rgb="FFFCFCFF"/>
        <color rgb="FFF8696B"/>
      </colorScale>
    </cfRule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8:EK8">
    <cfRule type="colorScale" priority="86">
      <colorScale>
        <cfvo type="min"/>
        <cfvo type="max"/>
        <color rgb="FFFCFCFF"/>
        <color rgb="FFF8696B"/>
      </colorScale>
    </cfRule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9:EK9">
    <cfRule type="colorScale" priority="84">
      <colorScale>
        <cfvo type="min"/>
        <cfvo type="max"/>
        <color rgb="FFFCFCFF"/>
        <color rgb="FFF8696B"/>
      </colorScale>
    </cfRule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0:EK10">
    <cfRule type="colorScale" priority="82">
      <colorScale>
        <cfvo type="min"/>
        <cfvo type="max"/>
        <color rgb="FFFCFCFF"/>
        <color rgb="FFF8696B"/>
      </colorScale>
    </cfRule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1:EK11">
    <cfRule type="colorScale" priority="80">
      <colorScale>
        <cfvo type="min"/>
        <cfvo type="max"/>
        <color rgb="FFFCFCFF"/>
        <color rgb="FFF8696B"/>
      </colorScale>
    </cfRule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2:EK12">
    <cfRule type="colorScale" priority="78">
      <colorScale>
        <cfvo type="min"/>
        <cfvo type="max"/>
        <color rgb="FFFCFCFF"/>
        <color rgb="FFF8696B"/>
      </colorScale>
    </cfRule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3:EK13">
    <cfRule type="colorScale" priority="76">
      <colorScale>
        <cfvo type="min"/>
        <cfvo type="max"/>
        <color rgb="FFFCFCFF"/>
        <color rgb="FFF8696B"/>
      </colorScale>
    </cfRule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4:EK14">
    <cfRule type="colorScale" priority="74">
      <colorScale>
        <cfvo type="min"/>
        <cfvo type="max"/>
        <color rgb="FFFCFCFF"/>
        <color rgb="FFF8696B"/>
      </colorScale>
    </cfRule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5:EK15">
    <cfRule type="colorScale" priority="72">
      <colorScale>
        <cfvo type="min"/>
        <cfvo type="max"/>
        <color rgb="FFFCFCFF"/>
        <color rgb="FFF8696B"/>
      </colorScale>
    </cfRule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6:EK16">
    <cfRule type="colorScale" priority="70">
      <colorScale>
        <cfvo type="min"/>
        <cfvo type="max"/>
        <color rgb="FFFCFCFF"/>
        <color rgb="FFF8696B"/>
      </colorScale>
    </cfRule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7:EK17">
    <cfRule type="colorScale" priority="68">
      <colorScale>
        <cfvo type="min"/>
        <cfvo type="max"/>
        <color rgb="FFFCFCFF"/>
        <color rgb="FFF8696B"/>
      </colorScale>
    </cfRule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8:EK18">
    <cfRule type="colorScale" priority="66">
      <colorScale>
        <cfvo type="min"/>
        <cfvo type="max"/>
        <color rgb="FFFCFCFF"/>
        <color rgb="FFF8696B"/>
      </colorScale>
    </cfRule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19:EK19">
    <cfRule type="colorScale" priority="64">
      <colorScale>
        <cfvo type="min"/>
        <cfvo type="max"/>
        <color rgb="FFFCFCFF"/>
        <color rgb="FFF8696B"/>
      </colorScale>
    </cfRule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0:EK20">
    <cfRule type="colorScale" priority="62">
      <colorScale>
        <cfvo type="min"/>
        <cfvo type="max"/>
        <color rgb="FFFCFCFF"/>
        <color rgb="FFF8696B"/>
      </colorScale>
    </cfRule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1:EK21">
    <cfRule type="colorScale" priority="60">
      <colorScale>
        <cfvo type="min"/>
        <cfvo type="max"/>
        <color rgb="FFFCFCFF"/>
        <color rgb="FFF8696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2:EK22">
    <cfRule type="colorScale" priority="58">
      <colorScale>
        <cfvo type="min"/>
        <cfvo type="max"/>
        <color rgb="FFFCFCFF"/>
        <color rgb="FFF8696B"/>
      </colorScale>
    </cfRule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3:EK23">
    <cfRule type="colorScale" priority="56">
      <colorScale>
        <cfvo type="min"/>
        <cfvo type="max"/>
        <color rgb="FFFCFCFF"/>
        <color rgb="FFF8696B"/>
      </colorScale>
    </cfRule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4:EK24">
    <cfRule type="colorScale" priority="54">
      <colorScale>
        <cfvo type="min"/>
        <cfvo type="max"/>
        <color rgb="FFFCFCFF"/>
        <color rgb="FFF8696B"/>
      </colorScale>
    </cfRule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5:EK25">
    <cfRule type="colorScale" priority="52">
      <colorScale>
        <cfvo type="min"/>
        <cfvo type="max"/>
        <color rgb="FFFCFCFF"/>
        <color rgb="FFF8696B"/>
      </colorScale>
    </cfRule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6:EK26">
    <cfRule type="colorScale" priority="50">
      <colorScale>
        <cfvo type="min"/>
        <cfvo type="max"/>
        <color rgb="FFFCFCFF"/>
        <color rgb="FFF8696B"/>
      </colorScale>
    </cfRule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7:EK27">
    <cfRule type="colorScale" priority="48">
      <colorScale>
        <cfvo type="min"/>
        <cfvo type="max"/>
        <color rgb="FFFCFCFF"/>
        <color rgb="FFF8696B"/>
      </colorScale>
    </cfRule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8:EK28">
    <cfRule type="colorScale" priority="46">
      <colorScale>
        <cfvo type="min"/>
        <cfvo type="max"/>
        <color rgb="FFFCFCFF"/>
        <color rgb="FFF8696B"/>
      </colorScale>
    </cfRule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9:EK29">
    <cfRule type="colorScale" priority="44">
      <colorScale>
        <cfvo type="min"/>
        <cfvo type="max"/>
        <color rgb="FFFCFCFF"/>
        <color rgb="FFF8696B"/>
      </colorScale>
    </cfRule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0:EK30">
    <cfRule type="colorScale" priority="42">
      <colorScale>
        <cfvo type="min"/>
        <cfvo type="max"/>
        <color rgb="FFFCFCFF"/>
        <color rgb="FFF8696B"/>
      </colorScale>
    </cfRule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1:EK31">
    <cfRule type="colorScale" priority="40">
      <colorScale>
        <cfvo type="min"/>
        <cfvo type="max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2:EK32">
    <cfRule type="colorScale" priority="38">
      <colorScale>
        <cfvo type="min"/>
        <cfvo type="max"/>
        <color rgb="FFFCFCFF"/>
        <color rgb="FFF8696B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3:EK33">
    <cfRule type="colorScale" priority="36">
      <colorScale>
        <cfvo type="min"/>
        <cfvo type="max"/>
        <color rgb="FFFCFCFF"/>
        <color rgb="FFF8696B"/>
      </colorScale>
    </cfRule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4:EK34">
    <cfRule type="colorScale" priority="34">
      <colorScale>
        <cfvo type="min"/>
        <cfvo type="max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5:EK35">
    <cfRule type="colorScale" priority="32">
      <colorScale>
        <cfvo type="min"/>
        <cfvo type="max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6:EK36">
    <cfRule type="colorScale" priority="30">
      <colorScale>
        <cfvo type="min"/>
        <cfvo type="max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7:EK37">
    <cfRule type="colorScale" priority="28">
      <colorScale>
        <cfvo type="min"/>
        <cfvo type="max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8:EK38">
    <cfRule type="colorScale" priority="26">
      <colorScale>
        <cfvo type="min"/>
        <cfvo type="max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39:EK39">
    <cfRule type="colorScale" priority="24">
      <colorScale>
        <cfvo type="min"/>
        <cfvo type="max"/>
        <color rgb="FFFCFCFF"/>
        <color rgb="FFF8696B"/>
      </colorScale>
    </cfRule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0:EK40">
    <cfRule type="colorScale" priority="22">
      <colorScale>
        <cfvo type="min"/>
        <cfvo type="max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1:EK41">
    <cfRule type="colorScale" priority="20">
      <colorScale>
        <cfvo type="min"/>
        <cfvo type="max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2:EK42">
    <cfRule type="colorScale" priority="18">
      <colorScale>
        <cfvo type="min"/>
        <cfvo type="max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3:EK43">
    <cfRule type="colorScale" priority="16">
      <colorScale>
        <cfvo type="min"/>
        <cfvo type="max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4:EK44">
    <cfRule type="colorScale" priority="14">
      <colorScale>
        <cfvo type="min"/>
        <cfvo type="max"/>
        <color rgb="FFFCFCFF"/>
        <color rgb="FFF8696B"/>
      </colorScale>
    </cfRule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5:EK45">
    <cfRule type="colorScale" priority="12">
      <colorScale>
        <cfvo type="min"/>
        <cfvo type="max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6:EK46">
    <cfRule type="colorScale" priority="10">
      <colorScale>
        <cfvo type="min"/>
        <cfvo type="max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7:EK47">
    <cfRule type="colorScale" priority="8">
      <colorScale>
        <cfvo type="min"/>
        <cfvo type="max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8:EK48">
    <cfRule type="colorScale" priority="6">
      <colorScale>
        <cfvo type="min"/>
        <cfvo type="max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49:EK49">
    <cfRule type="colorScale" priority="4">
      <colorScale>
        <cfvo type="min"/>
        <cfvo type="max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50:EK50">
    <cfRule type="colorScale" priority="2">
      <colorScale>
        <cfvo type="min"/>
        <cfvo type="max"/>
        <color rgb="FFFCFCFF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N2:EK2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1926-09E4-4B0B-806E-3DE31230DB95}">
  <dimension ref="A2:H13"/>
  <sheetViews>
    <sheetView workbookViewId="0">
      <selection activeCell="B34" sqref="B34"/>
    </sheetView>
  </sheetViews>
  <sheetFormatPr defaultRowHeight="14.4" x14ac:dyDescent="0.3"/>
  <cols>
    <col min="1" max="1" width="15.109375" bestFit="1" customWidth="1"/>
    <col min="2" max="2" width="9.21875" bestFit="1" customWidth="1"/>
    <col min="3" max="3" width="6.21875" bestFit="1" customWidth="1"/>
    <col min="4" max="4" width="11" bestFit="1" customWidth="1"/>
    <col min="5" max="5" width="15" bestFit="1" customWidth="1"/>
    <col min="6" max="6" width="6.21875" bestFit="1" customWidth="1"/>
    <col min="7" max="7" width="12" bestFit="1" customWidth="1"/>
    <col min="8" max="8" width="11" bestFit="1" customWidth="1"/>
  </cols>
  <sheetData>
    <row r="2" spans="1:8" x14ac:dyDescent="0.3">
      <c r="A2" s="66" t="s">
        <v>69</v>
      </c>
      <c r="B2" s="65" t="s">
        <v>72</v>
      </c>
      <c r="C2" s="65" t="s">
        <v>73</v>
      </c>
      <c r="D2" s="65" t="s">
        <v>74</v>
      </c>
      <c r="E2" s="65" t="s">
        <v>76</v>
      </c>
      <c r="F2" s="65" t="s">
        <v>73</v>
      </c>
      <c r="G2" s="65" t="s">
        <v>75</v>
      </c>
    </row>
    <row r="3" spans="1:8" x14ac:dyDescent="0.3">
      <c r="A3" t="s">
        <v>70</v>
      </c>
      <c r="B3" s="61">
        <f>'INVENTORY DATA'!BA2</f>
        <v>132712</v>
      </c>
      <c r="C3" s="62">
        <v>20</v>
      </c>
      <c r="D3" s="62">
        <f>B3*C3</f>
        <v>2654240</v>
      </c>
      <c r="E3" s="63" t="s">
        <v>77</v>
      </c>
      <c r="F3" s="63" t="s">
        <v>77</v>
      </c>
      <c r="G3" s="63" t="s">
        <v>77</v>
      </c>
    </row>
    <row r="4" spans="1:8" x14ac:dyDescent="0.3">
      <c r="A4" t="s">
        <v>71</v>
      </c>
      <c r="B4" s="61">
        <f>'INVENTORY DATA'!Y2</f>
        <v>31489</v>
      </c>
      <c r="C4" s="62">
        <v>100</v>
      </c>
      <c r="D4" s="62">
        <f>B4*C4</f>
        <v>3148900</v>
      </c>
      <c r="E4" s="61">
        <v>120749</v>
      </c>
      <c r="F4" s="62">
        <v>100</v>
      </c>
      <c r="G4" s="62">
        <f>E4*F4</f>
        <v>12074900</v>
      </c>
    </row>
    <row r="5" spans="1:8" x14ac:dyDescent="0.3">
      <c r="A5" t="s">
        <v>55</v>
      </c>
      <c r="B5" s="60">
        <f>SUM(B3:B4)</f>
        <v>164201</v>
      </c>
      <c r="C5" s="62">
        <f>D5/B5</f>
        <v>35.341684886206536</v>
      </c>
      <c r="D5" s="64">
        <f>SUM(D3:D4)</f>
        <v>5803140</v>
      </c>
      <c r="E5" s="60">
        <f>SUM(E3:E4)</f>
        <v>120749</v>
      </c>
      <c r="F5" s="62">
        <f>G5/E5</f>
        <v>100</v>
      </c>
      <c r="G5" s="64">
        <f>SUM(G3:G4)</f>
        <v>12074900</v>
      </c>
      <c r="H5" s="64">
        <f>G5/4</f>
        <v>3018725</v>
      </c>
    </row>
    <row r="6" spans="1:8" x14ac:dyDescent="0.3">
      <c r="A6" t="s">
        <v>62</v>
      </c>
      <c r="D6" s="78"/>
      <c r="E6" s="59">
        <f>E5/B5</f>
        <v>0.73537310978617665</v>
      </c>
      <c r="G6" s="59">
        <f>G5/D5</f>
        <v>2.0807528338106613</v>
      </c>
      <c r="H6" s="78"/>
    </row>
    <row r="9" spans="1:8" x14ac:dyDescent="0.3">
      <c r="A9" t="s">
        <v>78</v>
      </c>
    </row>
    <row r="10" spans="1:8" x14ac:dyDescent="0.3">
      <c r="A10" t="s">
        <v>81</v>
      </c>
      <c r="B10" t="s">
        <v>79</v>
      </c>
    </row>
    <row r="11" spans="1:8" x14ac:dyDescent="0.3">
      <c r="B11" t="s">
        <v>80</v>
      </c>
    </row>
    <row r="12" spans="1:8" x14ac:dyDescent="0.3">
      <c r="A12" t="s">
        <v>82</v>
      </c>
      <c r="B12" t="s">
        <v>83</v>
      </c>
    </row>
    <row r="13" spans="1:8" x14ac:dyDescent="0.3">
      <c r="B1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0DF1C-0E5F-418D-92AD-A6E0CD94CA04}">
  <dimension ref="A1:H50"/>
  <sheetViews>
    <sheetView workbookViewId="0">
      <selection activeCell="X6" sqref="X6"/>
    </sheetView>
  </sheetViews>
  <sheetFormatPr defaultRowHeight="12" x14ac:dyDescent="0.25"/>
  <cols>
    <col min="1" max="1" width="6.44140625" style="1" bestFit="1" customWidth="1"/>
    <col min="2" max="2" width="6.21875" style="1" bestFit="1" customWidth="1"/>
    <col min="3" max="3" width="8" style="1" customWidth="1"/>
    <col min="4" max="4" width="9.44140625" style="1" bestFit="1" customWidth="1"/>
    <col min="5" max="5" width="9.44140625" style="1" customWidth="1"/>
    <col min="6" max="6" width="10.33203125" style="1" bestFit="1" customWidth="1"/>
    <col min="7" max="8" width="8" style="1" bestFit="1" customWidth="1"/>
    <col min="9" max="16384" width="8.88671875" style="1"/>
  </cols>
  <sheetData>
    <row r="1" spans="1:8" x14ac:dyDescent="0.25">
      <c r="A1" s="55" t="s">
        <v>43</v>
      </c>
      <c r="B1" s="56"/>
      <c r="C1" s="8" t="s">
        <v>60</v>
      </c>
      <c r="D1" s="8"/>
      <c r="E1" s="8"/>
      <c r="F1" s="6" t="s">
        <v>61</v>
      </c>
      <c r="G1" s="6" t="s">
        <v>62</v>
      </c>
    </row>
    <row r="2" spans="1:8" x14ac:dyDescent="0.25">
      <c r="A2" s="2" t="s">
        <v>27</v>
      </c>
      <c r="B2" s="3">
        <f>SUM(B4:B51)</f>
        <v>31489</v>
      </c>
      <c r="C2" s="54">
        <v>0.8</v>
      </c>
      <c r="D2" s="3">
        <f>SUM(D4:D51)</f>
        <v>106169.60000000001</v>
      </c>
      <c r="E2" s="3">
        <f>SUM(E4:E51)</f>
        <v>137658.60000000003</v>
      </c>
      <c r="F2" s="3">
        <f>SUM(F4:F51)</f>
        <v>8581</v>
      </c>
    </row>
    <row r="3" spans="1:8" x14ac:dyDescent="0.25">
      <c r="A3" s="5" t="s">
        <v>26</v>
      </c>
      <c r="B3" s="45" t="s">
        <v>50</v>
      </c>
      <c r="C3" s="46" t="s">
        <v>51</v>
      </c>
      <c r="D3" s="46" t="s">
        <v>59</v>
      </c>
      <c r="E3" s="46" t="s">
        <v>63</v>
      </c>
      <c r="F3" s="6" t="s">
        <v>44</v>
      </c>
      <c r="G3" s="6" t="s">
        <v>45</v>
      </c>
      <c r="H3" s="46" t="s">
        <v>45</v>
      </c>
    </row>
    <row r="4" spans="1:8" x14ac:dyDescent="0.25">
      <c r="A4" s="2">
        <v>18</v>
      </c>
      <c r="B4" s="7">
        <v>13</v>
      </c>
      <c r="C4" s="9">
        <v>20</v>
      </c>
      <c r="D4" s="9">
        <f t="shared" ref="D4:D50" si="0">$C$2*C4</f>
        <v>16</v>
      </c>
      <c r="E4" s="9">
        <f t="shared" ref="E4:E49" si="1">B4+D4</f>
        <v>29</v>
      </c>
      <c r="F4" s="4">
        <v>3.5</v>
      </c>
      <c r="G4" s="9">
        <f>F4*12/(B4+D4)</f>
        <v>1.4482758620689655</v>
      </c>
      <c r="H4" s="9">
        <f t="shared" ref="H4:H50" si="2">G4*12/C4</f>
        <v>0.86896551724137938</v>
      </c>
    </row>
    <row r="5" spans="1:8" x14ac:dyDescent="0.25">
      <c r="A5" s="2">
        <v>19</v>
      </c>
      <c r="B5" s="7">
        <v>139</v>
      </c>
      <c r="C5" s="9">
        <v>2709</v>
      </c>
      <c r="D5" s="9">
        <f t="shared" si="0"/>
        <v>2167.2000000000003</v>
      </c>
      <c r="E5" s="9">
        <f t="shared" si="1"/>
        <v>2306.2000000000003</v>
      </c>
      <c r="F5" s="4">
        <v>4</v>
      </c>
      <c r="G5" s="9">
        <f t="shared" ref="G5:G50" si="3">F5*12/(B5+D5)</f>
        <v>2.0813459370392851E-2</v>
      </c>
      <c r="H5" s="9">
        <f t="shared" si="2"/>
        <v>9.2196940732637225E-5</v>
      </c>
    </row>
    <row r="6" spans="1:8" x14ac:dyDescent="0.25">
      <c r="A6" s="2">
        <v>20</v>
      </c>
      <c r="B6" s="7">
        <v>2936</v>
      </c>
      <c r="C6" s="9">
        <v>9731</v>
      </c>
      <c r="D6" s="9">
        <f t="shared" si="0"/>
        <v>7784.8</v>
      </c>
      <c r="E6" s="9">
        <f t="shared" si="1"/>
        <v>10720.8</v>
      </c>
      <c r="F6" s="4">
        <v>816.5</v>
      </c>
      <c r="G6" s="9">
        <f t="shared" si="3"/>
        <v>0.91392433400492512</v>
      </c>
      <c r="H6" s="9">
        <f t="shared" si="2"/>
        <v>1.1270262057403249E-3</v>
      </c>
    </row>
    <row r="7" spans="1:8" x14ac:dyDescent="0.25">
      <c r="A7" s="2">
        <v>21</v>
      </c>
      <c r="B7" s="7">
        <v>4263</v>
      </c>
      <c r="C7" s="9">
        <v>13095</v>
      </c>
      <c r="D7" s="9">
        <f t="shared" si="0"/>
        <v>10476</v>
      </c>
      <c r="E7" s="9">
        <f t="shared" si="1"/>
        <v>14739</v>
      </c>
      <c r="F7" s="4">
        <v>1168.1666666666667</v>
      </c>
      <c r="G7" s="9">
        <f t="shared" si="3"/>
        <v>0.95108216296899384</v>
      </c>
      <c r="H7" s="9">
        <f t="shared" si="2"/>
        <v>8.7155295575623722E-4</v>
      </c>
    </row>
    <row r="8" spans="1:8" x14ac:dyDescent="0.25">
      <c r="A8" s="2">
        <v>22</v>
      </c>
      <c r="B8" s="7">
        <v>3786</v>
      </c>
      <c r="C8" s="9">
        <v>9118</v>
      </c>
      <c r="D8" s="9">
        <f t="shared" si="0"/>
        <v>7294.4000000000005</v>
      </c>
      <c r="E8" s="9">
        <f t="shared" si="1"/>
        <v>11080.400000000001</v>
      </c>
      <c r="F8" s="4">
        <v>1388</v>
      </c>
      <c r="G8" s="9">
        <f t="shared" si="3"/>
        <v>1.5031948305115337</v>
      </c>
      <c r="H8" s="9">
        <f t="shared" si="2"/>
        <v>1.9783217773786362E-3</v>
      </c>
    </row>
    <row r="9" spans="1:8" x14ac:dyDescent="0.25">
      <c r="A9" s="2">
        <v>23</v>
      </c>
      <c r="B9" s="7">
        <v>1239</v>
      </c>
      <c r="C9" s="9">
        <v>6899</v>
      </c>
      <c r="D9" s="9">
        <f t="shared" si="0"/>
        <v>5519.2000000000007</v>
      </c>
      <c r="E9" s="9">
        <f t="shared" si="1"/>
        <v>6758.2000000000007</v>
      </c>
      <c r="F9" s="4">
        <v>162.5</v>
      </c>
      <c r="G9" s="9">
        <f t="shared" si="3"/>
        <v>0.28853836820455148</v>
      </c>
      <c r="H9" s="9">
        <f t="shared" si="2"/>
        <v>5.0187859377512942E-4</v>
      </c>
    </row>
    <row r="10" spans="1:8" x14ac:dyDescent="0.25">
      <c r="A10" s="2">
        <v>24</v>
      </c>
      <c r="B10" s="7">
        <v>1819</v>
      </c>
      <c r="C10" s="9">
        <v>5168</v>
      </c>
      <c r="D10" s="9">
        <f t="shared" si="0"/>
        <v>4134.4000000000005</v>
      </c>
      <c r="E10" s="9">
        <f t="shared" si="1"/>
        <v>5953.4000000000005</v>
      </c>
      <c r="F10" s="4">
        <v>790.33333333333337</v>
      </c>
      <c r="G10" s="9">
        <f t="shared" si="3"/>
        <v>1.5930392716766888</v>
      </c>
      <c r="H10" s="9">
        <f t="shared" si="2"/>
        <v>3.6990075967724967E-3</v>
      </c>
    </row>
    <row r="11" spans="1:8" x14ac:dyDescent="0.25">
      <c r="A11" s="2">
        <v>25</v>
      </c>
      <c r="B11" s="7">
        <v>236</v>
      </c>
      <c r="C11" s="9">
        <v>2847</v>
      </c>
      <c r="D11" s="9">
        <f t="shared" si="0"/>
        <v>2277.6</v>
      </c>
      <c r="E11" s="9">
        <f t="shared" si="1"/>
        <v>2513.6</v>
      </c>
      <c r="F11" s="4">
        <v>75</v>
      </c>
      <c r="G11" s="9">
        <f t="shared" si="3"/>
        <v>0.35805219605346916</v>
      </c>
      <c r="H11" s="9">
        <f t="shared" si="2"/>
        <v>1.509176801068363E-3</v>
      </c>
    </row>
    <row r="12" spans="1:8" x14ac:dyDescent="0.25">
      <c r="A12" s="2">
        <v>26</v>
      </c>
      <c r="B12" s="7">
        <v>391</v>
      </c>
      <c r="C12" s="9">
        <v>3850</v>
      </c>
      <c r="D12" s="9">
        <f t="shared" si="0"/>
        <v>3080</v>
      </c>
      <c r="E12" s="9">
        <f t="shared" si="1"/>
        <v>3471</v>
      </c>
      <c r="F12" s="4">
        <v>634.66666666666663</v>
      </c>
      <c r="G12" s="9">
        <f t="shared" si="3"/>
        <v>2.1941803514837224</v>
      </c>
      <c r="H12" s="9">
        <f t="shared" si="2"/>
        <v>6.8390036929362776E-3</v>
      </c>
    </row>
    <row r="13" spans="1:8" x14ac:dyDescent="0.25">
      <c r="A13" s="2">
        <v>27</v>
      </c>
      <c r="B13" s="7">
        <v>824</v>
      </c>
      <c r="C13" s="9">
        <v>7489</v>
      </c>
      <c r="D13" s="9">
        <f t="shared" si="0"/>
        <v>5991.2000000000007</v>
      </c>
      <c r="E13" s="9">
        <f t="shared" si="1"/>
        <v>6815.2000000000007</v>
      </c>
      <c r="F13" s="4">
        <v>98.5</v>
      </c>
      <c r="G13" s="9">
        <f t="shared" si="3"/>
        <v>0.17343584927808425</v>
      </c>
      <c r="H13" s="9">
        <f t="shared" si="2"/>
        <v>2.7790495277567242E-4</v>
      </c>
    </row>
    <row r="14" spans="1:8" x14ac:dyDescent="0.25">
      <c r="A14" s="2">
        <v>28</v>
      </c>
      <c r="B14" s="7">
        <v>1023</v>
      </c>
      <c r="C14" s="9">
        <v>7924</v>
      </c>
      <c r="D14" s="9">
        <f t="shared" si="0"/>
        <v>6339.2000000000007</v>
      </c>
      <c r="E14" s="9">
        <f t="shared" si="1"/>
        <v>7362.2000000000007</v>
      </c>
      <c r="F14" s="4">
        <v>213.33333333333334</v>
      </c>
      <c r="G14" s="9">
        <f t="shared" si="3"/>
        <v>0.34772214827089726</v>
      </c>
      <c r="H14" s="9">
        <f t="shared" si="2"/>
        <v>5.2658578738651784E-4</v>
      </c>
    </row>
    <row r="15" spans="1:8" x14ac:dyDescent="0.25">
      <c r="A15" s="2">
        <v>29</v>
      </c>
      <c r="B15" s="7">
        <v>600</v>
      </c>
      <c r="C15" s="9">
        <v>2393</v>
      </c>
      <c r="D15" s="9">
        <f t="shared" si="0"/>
        <v>1914.4</v>
      </c>
      <c r="E15" s="9">
        <f t="shared" si="1"/>
        <v>2514.4</v>
      </c>
      <c r="F15" s="4">
        <v>269.83333333333331</v>
      </c>
      <c r="G15" s="9">
        <f t="shared" si="3"/>
        <v>1.2877823735284759</v>
      </c>
      <c r="H15" s="9">
        <f t="shared" si="2"/>
        <v>6.4577469629509866E-3</v>
      </c>
    </row>
    <row r="16" spans="1:8" x14ac:dyDescent="0.25">
      <c r="A16" s="2">
        <v>30</v>
      </c>
      <c r="B16" s="7">
        <v>564</v>
      </c>
      <c r="C16" s="9">
        <v>985</v>
      </c>
      <c r="D16" s="9">
        <f t="shared" si="0"/>
        <v>788</v>
      </c>
      <c r="E16" s="9">
        <f t="shared" si="1"/>
        <v>1352</v>
      </c>
      <c r="F16" s="4">
        <v>81</v>
      </c>
      <c r="G16" s="9">
        <f t="shared" si="3"/>
        <v>0.71893491124260356</v>
      </c>
      <c r="H16" s="9">
        <f t="shared" si="2"/>
        <v>8.7585979034631913E-3</v>
      </c>
    </row>
    <row r="17" spans="1:8" x14ac:dyDescent="0.25">
      <c r="A17" s="2">
        <v>31</v>
      </c>
      <c r="B17" s="7">
        <v>187</v>
      </c>
      <c r="C17" s="9">
        <v>497</v>
      </c>
      <c r="D17" s="9">
        <f t="shared" si="0"/>
        <v>397.6</v>
      </c>
      <c r="E17" s="9">
        <f t="shared" si="1"/>
        <v>584.6</v>
      </c>
      <c r="F17" s="4">
        <v>32.833333333333336</v>
      </c>
      <c r="G17" s="9">
        <f t="shared" si="3"/>
        <v>0.67396510434485113</v>
      </c>
      <c r="H17" s="9">
        <f t="shared" si="2"/>
        <v>1.6272799300076891E-2</v>
      </c>
    </row>
    <row r="18" spans="1:8" x14ac:dyDescent="0.25">
      <c r="A18" s="2">
        <v>32</v>
      </c>
      <c r="B18" s="7">
        <v>251</v>
      </c>
      <c r="C18" s="9">
        <v>3802</v>
      </c>
      <c r="D18" s="9">
        <f t="shared" si="0"/>
        <v>3041.6000000000004</v>
      </c>
      <c r="E18" s="9">
        <f t="shared" si="1"/>
        <v>3292.6000000000004</v>
      </c>
      <c r="F18" s="4">
        <v>46</v>
      </c>
      <c r="G18" s="9">
        <f t="shared" si="3"/>
        <v>0.1676486667071615</v>
      </c>
      <c r="H18" s="9">
        <f t="shared" si="2"/>
        <v>5.291383483655807E-4</v>
      </c>
    </row>
    <row r="19" spans="1:8" x14ac:dyDescent="0.25">
      <c r="A19" s="2">
        <v>33</v>
      </c>
      <c r="B19" s="7">
        <v>1441</v>
      </c>
      <c r="C19" s="9">
        <v>3175</v>
      </c>
      <c r="D19" s="9">
        <f t="shared" si="0"/>
        <v>2540</v>
      </c>
      <c r="E19" s="9">
        <f t="shared" si="1"/>
        <v>3981</v>
      </c>
      <c r="F19" s="4">
        <v>338.83333333333331</v>
      </c>
      <c r="G19" s="9">
        <f t="shared" si="3"/>
        <v>1.0213514192413966</v>
      </c>
      <c r="H19" s="9">
        <f t="shared" si="2"/>
        <v>3.8602258365029165E-3</v>
      </c>
    </row>
    <row r="20" spans="1:8" x14ac:dyDescent="0.25">
      <c r="A20" s="2">
        <v>34</v>
      </c>
      <c r="B20" s="7">
        <v>298</v>
      </c>
      <c r="C20" s="9">
        <v>5448</v>
      </c>
      <c r="D20" s="9">
        <f t="shared" si="0"/>
        <v>4358.4000000000005</v>
      </c>
      <c r="E20" s="9">
        <f t="shared" si="1"/>
        <v>4656.4000000000005</v>
      </c>
      <c r="F20" s="4">
        <v>154.83333333333334</v>
      </c>
      <c r="G20" s="9">
        <f t="shared" si="3"/>
        <v>0.39902070268877238</v>
      </c>
      <c r="H20" s="9">
        <f t="shared" si="2"/>
        <v>8.7890022618672327E-4</v>
      </c>
    </row>
    <row r="21" spans="1:8" x14ac:dyDescent="0.25">
      <c r="A21" s="2">
        <v>35</v>
      </c>
      <c r="B21" s="7">
        <v>409</v>
      </c>
      <c r="C21" s="9">
        <v>1306</v>
      </c>
      <c r="D21" s="9">
        <f t="shared" si="0"/>
        <v>1044.8</v>
      </c>
      <c r="E21" s="9">
        <f t="shared" si="1"/>
        <v>1453.8</v>
      </c>
      <c r="F21" s="4">
        <v>166.33333333333334</v>
      </c>
      <c r="G21" s="9">
        <f t="shared" si="3"/>
        <v>1.3729536387398542</v>
      </c>
      <c r="H21" s="9">
        <f t="shared" si="2"/>
        <v>1.2615194230381507E-2</v>
      </c>
    </row>
    <row r="22" spans="1:8" x14ac:dyDescent="0.25">
      <c r="A22" s="2">
        <v>36</v>
      </c>
      <c r="B22" s="7">
        <v>546</v>
      </c>
      <c r="C22" s="9">
        <v>1402</v>
      </c>
      <c r="D22" s="9">
        <f t="shared" si="0"/>
        <v>1121.6000000000001</v>
      </c>
      <c r="E22" s="9">
        <f t="shared" si="1"/>
        <v>1667.6000000000001</v>
      </c>
      <c r="F22" s="4">
        <v>127.66666666666667</v>
      </c>
      <c r="G22" s="9">
        <f t="shared" si="3"/>
        <v>0.91868553609978409</v>
      </c>
      <c r="H22" s="9">
        <f t="shared" si="2"/>
        <v>7.8632142890138444E-3</v>
      </c>
    </row>
    <row r="23" spans="1:8" x14ac:dyDescent="0.25">
      <c r="A23" s="2">
        <v>37</v>
      </c>
      <c r="B23" s="7">
        <v>297</v>
      </c>
      <c r="C23" s="9">
        <v>1354</v>
      </c>
      <c r="D23" s="9">
        <f t="shared" si="0"/>
        <v>1083.2</v>
      </c>
      <c r="E23" s="9">
        <f t="shared" si="1"/>
        <v>1380.2</v>
      </c>
      <c r="F23" s="4">
        <v>20.166666666666668</v>
      </c>
      <c r="G23" s="9">
        <f t="shared" si="3"/>
        <v>0.17533690769453703</v>
      </c>
      <c r="H23" s="9">
        <f t="shared" si="2"/>
        <v>1.5539460061554241E-3</v>
      </c>
    </row>
    <row r="24" spans="1:8" x14ac:dyDescent="0.25">
      <c r="A24" s="2">
        <v>38</v>
      </c>
      <c r="B24" s="7">
        <v>567</v>
      </c>
      <c r="C24" s="9">
        <v>4260</v>
      </c>
      <c r="D24" s="9">
        <f t="shared" si="0"/>
        <v>3408</v>
      </c>
      <c r="E24" s="9">
        <f t="shared" si="1"/>
        <v>3975</v>
      </c>
      <c r="F24" s="4">
        <v>49.333333333333336</v>
      </c>
      <c r="G24" s="9">
        <f t="shared" si="3"/>
        <v>0.14893081761006288</v>
      </c>
      <c r="H24" s="9">
        <f t="shared" si="2"/>
        <v>4.1952342988750107E-4</v>
      </c>
    </row>
    <row r="25" spans="1:8" x14ac:dyDescent="0.25">
      <c r="A25" s="2">
        <v>39</v>
      </c>
      <c r="B25" s="7">
        <v>1114</v>
      </c>
      <c r="C25" s="9">
        <v>2501</v>
      </c>
      <c r="D25" s="9">
        <f t="shared" si="0"/>
        <v>2000.8000000000002</v>
      </c>
      <c r="E25" s="9">
        <f t="shared" si="1"/>
        <v>3114.8</v>
      </c>
      <c r="F25" s="4">
        <v>140.16666666666666</v>
      </c>
      <c r="G25" s="9">
        <f t="shared" si="3"/>
        <v>0.54000256838320271</v>
      </c>
      <c r="H25" s="9">
        <f t="shared" si="2"/>
        <v>2.5909759378642274E-3</v>
      </c>
    </row>
    <row r="26" spans="1:8" x14ac:dyDescent="0.25">
      <c r="A26" s="2">
        <v>40</v>
      </c>
      <c r="B26" s="7">
        <v>522</v>
      </c>
      <c r="C26" s="9">
        <v>1026</v>
      </c>
      <c r="D26" s="9">
        <f t="shared" si="0"/>
        <v>820.80000000000007</v>
      </c>
      <c r="E26" s="9">
        <f t="shared" si="1"/>
        <v>1342.8000000000002</v>
      </c>
      <c r="F26" s="4">
        <v>46.666666666666664</v>
      </c>
      <c r="G26" s="9">
        <f t="shared" si="3"/>
        <v>0.41703902293714623</v>
      </c>
      <c r="H26" s="9">
        <f t="shared" si="2"/>
        <v>4.8776493910777331E-3</v>
      </c>
    </row>
    <row r="27" spans="1:8" x14ac:dyDescent="0.25">
      <c r="A27" s="2">
        <v>41</v>
      </c>
      <c r="B27" s="7">
        <v>224</v>
      </c>
      <c r="C27" s="9">
        <v>1500</v>
      </c>
      <c r="D27" s="9">
        <f t="shared" si="0"/>
        <v>1200</v>
      </c>
      <c r="E27" s="9">
        <f t="shared" si="1"/>
        <v>1424</v>
      </c>
      <c r="F27" s="4">
        <v>40.5</v>
      </c>
      <c r="G27" s="9">
        <f t="shared" si="3"/>
        <v>0.34129213483146065</v>
      </c>
      <c r="H27" s="9">
        <f t="shared" si="2"/>
        <v>2.7303370786516852E-3</v>
      </c>
    </row>
    <row r="28" spans="1:8" x14ac:dyDescent="0.25">
      <c r="A28" s="2">
        <v>42</v>
      </c>
      <c r="B28" s="7">
        <v>445</v>
      </c>
      <c r="C28" s="9">
        <v>702</v>
      </c>
      <c r="D28" s="9">
        <f t="shared" si="0"/>
        <v>561.6</v>
      </c>
      <c r="E28" s="9">
        <f t="shared" si="1"/>
        <v>1006.6</v>
      </c>
      <c r="F28" s="4">
        <v>119.66666666666667</v>
      </c>
      <c r="G28" s="9">
        <f t="shared" si="3"/>
        <v>1.4265845420226504</v>
      </c>
      <c r="H28" s="9">
        <f t="shared" si="2"/>
        <v>2.4386060547395731E-2</v>
      </c>
    </row>
    <row r="29" spans="1:8" x14ac:dyDescent="0.25">
      <c r="A29" s="2">
        <v>43</v>
      </c>
      <c r="B29" s="7">
        <v>242</v>
      </c>
      <c r="C29" s="9">
        <v>2236</v>
      </c>
      <c r="D29" s="9">
        <f t="shared" si="0"/>
        <v>1788.8000000000002</v>
      </c>
      <c r="E29" s="9">
        <f t="shared" si="1"/>
        <v>2030.8000000000002</v>
      </c>
      <c r="F29" s="4">
        <v>33.333333333333336</v>
      </c>
      <c r="G29" s="9">
        <f t="shared" si="3"/>
        <v>0.19696671262556625</v>
      </c>
      <c r="H29" s="9">
        <f t="shared" si="2"/>
        <v>1.057066436273164E-3</v>
      </c>
    </row>
    <row r="30" spans="1:8" x14ac:dyDescent="0.25">
      <c r="A30" s="2">
        <v>44</v>
      </c>
      <c r="B30" s="7">
        <v>239</v>
      </c>
      <c r="C30" s="9">
        <v>1424</v>
      </c>
      <c r="D30" s="9">
        <f t="shared" si="0"/>
        <v>1139.2</v>
      </c>
      <c r="E30" s="9">
        <f t="shared" si="1"/>
        <v>1378.2</v>
      </c>
      <c r="F30" s="4">
        <v>189</v>
      </c>
      <c r="G30" s="9">
        <f t="shared" si="3"/>
        <v>1.6456247279059641</v>
      </c>
      <c r="H30" s="9">
        <f t="shared" si="2"/>
        <v>1.3867624111567112E-2</v>
      </c>
    </row>
    <row r="31" spans="1:8" x14ac:dyDescent="0.25">
      <c r="A31" s="2">
        <v>45</v>
      </c>
      <c r="B31" s="7">
        <v>207</v>
      </c>
      <c r="C31" s="9">
        <v>1026</v>
      </c>
      <c r="D31" s="9">
        <f t="shared" si="0"/>
        <v>820.80000000000007</v>
      </c>
      <c r="E31" s="9">
        <f t="shared" si="1"/>
        <v>1027.8000000000002</v>
      </c>
      <c r="F31" s="4">
        <v>13.166666666666666</v>
      </c>
      <c r="G31" s="9">
        <f t="shared" si="3"/>
        <v>0.15372640591554773</v>
      </c>
      <c r="H31" s="9">
        <f t="shared" si="2"/>
        <v>1.7979696598309676E-3</v>
      </c>
    </row>
    <row r="32" spans="1:8" x14ac:dyDescent="0.25">
      <c r="A32" s="2">
        <v>46</v>
      </c>
      <c r="B32" s="7">
        <v>85</v>
      </c>
      <c r="C32" s="9">
        <v>217</v>
      </c>
      <c r="D32" s="9">
        <f t="shared" si="0"/>
        <v>173.60000000000002</v>
      </c>
      <c r="E32" s="9">
        <f t="shared" si="1"/>
        <v>258.60000000000002</v>
      </c>
      <c r="F32" s="4">
        <v>15</v>
      </c>
      <c r="G32" s="9">
        <f t="shared" si="3"/>
        <v>0.6960556844547563</v>
      </c>
      <c r="H32" s="9">
        <f t="shared" si="2"/>
        <v>3.8491558587359795E-2</v>
      </c>
    </row>
    <row r="33" spans="1:8" x14ac:dyDescent="0.25">
      <c r="A33" s="2">
        <v>47</v>
      </c>
      <c r="B33" s="7">
        <v>241</v>
      </c>
      <c r="C33" s="9">
        <v>1063</v>
      </c>
      <c r="D33" s="9">
        <f t="shared" si="0"/>
        <v>850.40000000000009</v>
      </c>
      <c r="E33" s="9">
        <f t="shared" si="1"/>
        <v>1091.4000000000001</v>
      </c>
      <c r="F33" s="4">
        <v>72.333333333333329</v>
      </c>
      <c r="G33" s="9">
        <f t="shared" si="3"/>
        <v>0.79530877771669406</v>
      </c>
      <c r="H33" s="9">
        <f t="shared" si="2"/>
        <v>8.9780859196616457E-3</v>
      </c>
    </row>
    <row r="34" spans="1:8" x14ac:dyDescent="0.25">
      <c r="A34" s="2">
        <v>48</v>
      </c>
      <c r="B34" s="7">
        <v>539</v>
      </c>
      <c r="C34" s="9">
        <v>887</v>
      </c>
      <c r="D34" s="9">
        <f t="shared" si="0"/>
        <v>709.6</v>
      </c>
      <c r="E34" s="9">
        <f t="shared" si="1"/>
        <v>1248.5999999999999</v>
      </c>
      <c r="F34" s="4">
        <v>119</v>
      </c>
      <c r="G34" s="9">
        <f t="shared" si="3"/>
        <v>1.1436809226333495</v>
      </c>
      <c r="H34" s="9">
        <f t="shared" si="2"/>
        <v>1.5472571670349712E-2</v>
      </c>
    </row>
    <row r="35" spans="1:8" x14ac:dyDescent="0.25">
      <c r="A35" s="2">
        <v>49</v>
      </c>
      <c r="B35" s="7">
        <v>240</v>
      </c>
      <c r="C35" s="9">
        <v>1059</v>
      </c>
      <c r="D35" s="9">
        <f t="shared" si="0"/>
        <v>847.2</v>
      </c>
      <c r="E35" s="9">
        <f t="shared" si="1"/>
        <v>1087.2</v>
      </c>
      <c r="F35" s="4">
        <v>32.333333333333336</v>
      </c>
      <c r="G35" s="9">
        <f t="shared" si="3"/>
        <v>0.35688005886681384</v>
      </c>
      <c r="H35" s="9">
        <f t="shared" si="2"/>
        <v>4.0439666727117712E-3</v>
      </c>
    </row>
    <row r="36" spans="1:8" x14ac:dyDescent="0.25">
      <c r="A36" s="2">
        <v>50</v>
      </c>
      <c r="B36" s="7">
        <v>159</v>
      </c>
      <c r="C36" s="9">
        <v>193</v>
      </c>
      <c r="D36" s="9">
        <f t="shared" si="0"/>
        <v>154.4</v>
      </c>
      <c r="E36" s="9">
        <f t="shared" si="1"/>
        <v>313.39999999999998</v>
      </c>
      <c r="F36" s="4">
        <v>26.666666666666668</v>
      </c>
      <c r="G36" s="9">
        <f t="shared" si="3"/>
        <v>1.0210593490746651</v>
      </c>
      <c r="H36" s="9">
        <f t="shared" si="2"/>
        <v>6.3485555382880726E-2</v>
      </c>
    </row>
    <row r="37" spans="1:8" x14ac:dyDescent="0.25">
      <c r="A37" s="2">
        <v>51</v>
      </c>
      <c r="B37" s="7">
        <v>360</v>
      </c>
      <c r="C37" s="9">
        <v>680</v>
      </c>
      <c r="D37" s="9">
        <f t="shared" si="0"/>
        <v>544</v>
      </c>
      <c r="E37" s="9">
        <f t="shared" si="1"/>
        <v>904</v>
      </c>
      <c r="F37" s="4">
        <v>159.83333333333334</v>
      </c>
      <c r="G37" s="9">
        <f t="shared" si="3"/>
        <v>2.1216814159292037</v>
      </c>
      <c r="H37" s="9">
        <f t="shared" si="2"/>
        <v>3.7441436751691828E-2</v>
      </c>
    </row>
    <row r="38" spans="1:8" x14ac:dyDescent="0.25">
      <c r="A38" s="2">
        <v>52</v>
      </c>
      <c r="B38" s="7">
        <v>587</v>
      </c>
      <c r="C38" s="9">
        <v>2167</v>
      </c>
      <c r="D38" s="9">
        <f t="shared" si="0"/>
        <v>1733.6000000000001</v>
      </c>
      <c r="E38" s="9">
        <f t="shared" si="1"/>
        <v>2320.6000000000004</v>
      </c>
      <c r="F38" s="4">
        <v>118.16666666666667</v>
      </c>
      <c r="G38" s="9">
        <f t="shared" si="3"/>
        <v>0.61104886667241221</v>
      </c>
      <c r="H38" s="9">
        <f t="shared" si="2"/>
        <v>3.3837500692519363E-3</v>
      </c>
    </row>
    <row r="39" spans="1:8" x14ac:dyDescent="0.25">
      <c r="A39" s="2">
        <v>53</v>
      </c>
      <c r="B39" s="7">
        <v>488</v>
      </c>
      <c r="C39" s="9">
        <v>2420</v>
      </c>
      <c r="D39" s="9">
        <f t="shared" si="0"/>
        <v>1936</v>
      </c>
      <c r="E39" s="9">
        <f t="shared" si="1"/>
        <v>2424</v>
      </c>
      <c r="F39" s="4">
        <v>23.833333333333332</v>
      </c>
      <c r="G39" s="9">
        <f t="shared" si="3"/>
        <v>0.11798679867986799</v>
      </c>
      <c r="H39" s="9">
        <f t="shared" si="2"/>
        <v>5.8505850585058501E-4</v>
      </c>
    </row>
    <row r="40" spans="1:8" x14ac:dyDescent="0.25">
      <c r="A40" s="2">
        <v>54</v>
      </c>
      <c r="B40" s="7">
        <v>599</v>
      </c>
      <c r="C40" s="9">
        <v>1518</v>
      </c>
      <c r="D40" s="9">
        <f t="shared" si="0"/>
        <v>1214.4000000000001</v>
      </c>
      <c r="E40" s="9">
        <f t="shared" si="1"/>
        <v>1813.4</v>
      </c>
      <c r="F40" s="4">
        <v>196.33333333333334</v>
      </c>
      <c r="G40" s="9">
        <f t="shared" si="3"/>
        <v>1.299216940553656</v>
      </c>
      <c r="H40" s="9">
        <f t="shared" si="2"/>
        <v>1.0270489648645503E-2</v>
      </c>
    </row>
    <row r="41" spans="1:8" x14ac:dyDescent="0.25">
      <c r="A41" s="2">
        <v>55</v>
      </c>
      <c r="B41" s="7">
        <v>305</v>
      </c>
      <c r="C41" s="9">
        <v>646</v>
      </c>
      <c r="D41" s="9">
        <f t="shared" si="0"/>
        <v>516.80000000000007</v>
      </c>
      <c r="E41" s="9">
        <f t="shared" si="1"/>
        <v>821.80000000000007</v>
      </c>
      <c r="F41" s="4">
        <v>5.333333333333333</v>
      </c>
      <c r="G41" s="9">
        <f t="shared" si="3"/>
        <v>7.7877829155512279E-2</v>
      </c>
      <c r="H41" s="9">
        <f t="shared" si="2"/>
        <v>1.4466469812169465E-3</v>
      </c>
    </row>
    <row r="42" spans="1:8" x14ac:dyDescent="0.25">
      <c r="A42" s="2">
        <v>56</v>
      </c>
      <c r="B42" s="7">
        <v>196</v>
      </c>
      <c r="C42" s="9">
        <v>764</v>
      </c>
      <c r="D42" s="9">
        <f t="shared" si="0"/>
        <v>611.20000000000005</v>
      </c>
      <c r="E42" s="9">
        <f t="shared" si="1"/>
        <v>807.2</v>
      </c>
      <c r="F42" s="4">
        <v>11.5</v>
      </c>
      <c r="G42" s="9">
        <f t="shared" si="3"/>
        <v>0.17096134786917738</v>
      </c>
      <c r="H42" s="9">
        <f t="shared" si="2"/>
        <v>2.6852567728143043E-3</v>
      </c>
    </row>
    <row r="43" spans="1:8" x14ac:dyDescent="0.25">
      <c r="A43" s="2">
        <v>57</v>
      </c>
      <c r="B43" s="7">
        <v>256</v>
      </c>
      <c r="C43" s="9">
        <v>1042</v>
      </c>
      <c r="D43" s="9">
        <f t="shared" si="0"/>
        <v>833.6</v>
      </c>
      <c r="E43" s="9">
        <f t="shared" si="1"/>
        <v>1089.5999999999999</v>
      </c>
      <c r="F43" s="4">
        <v>187.66666666666666</v>
      </c>
      <c r="G43" s="9">
        <f t="shared" si="3"/>
        <v>2.066813509544787</v>
      </c>
      <c r="H43" s="9">
        <f t="shared" si="2"/>
        <v>2.3802074965966841E-2</v>
      </c>
    </row>
    <row r="44" spans="1:8" x14ac:dyDescent="0.25">
      <c r="A44" s="2">
        <v>58</v>
      </c>
      <c r="B44" s="7">
        <v>372</v>
      </c>
      <c r="C44" s="9">
        <v>2399</v>
      </c>
      <c r="D44" s="9">
        <f t="shared" si="0"/>
        <v>1919.2</v>
      </c>
      <c r="E44" s="9">
        <f t="shared" si="1"/>
        <v>2291.1999999999998</v>
      </c>
      <c r="F44" s="4">
        <v>87.5</v>
      </c>
      <c r="G44" s="9">
        <f t="shared" si="3"/>
        <v>0.45827513966480449</v>
      </c>
      <c r="H44" s="9">
        <f t="shared" si="2"/>
        <v>2.2923308361724273E-3</v>
      </c>
    </row>
    <row r="45" spans="1:8" x14ac:dyDescent="0.25">
      <c r="A45" s="2">
        <v>59</v>
      </c>
      <c r="B45" s="7">
        <v>376</v>
      </c>
      <c r="C45" s="9">
        <v>1214</v>
      </c>
      <c r="D45" s="9">
        <f t="shared" si="0"/>
        <v>971.2</v>
      </c>
      <c r="E45" s="9">
        <f t="shared" si="1"/>
        <v>1347.2</v>
      </c>
      <c r="F45" s="4">
        <v>133.16666666666666</v>
      </c>
      <c r="G45" s="9">
        <f t="shared" si="3"/>
        <v>1.1861638954869358</v>
      </c>
      <c r="H45" s="9">
        <f t="shared" si="2"/>
        <v>1.1724849049294259E-2</v>
      </c>
    </row>
    <row r="46" spans="1:8" x14ac:dyDescent="0.25">
      <c r="A46" s="2">
        <v>60</v>
      </c>
      <c r="B46" s="7">
        <v>568</v>
      </c>
      <c r="C46" s="9">
        <v>3654</v>
      </c>
      <c r="D46" s="9">
        <f t="shared" si="0"/>
        <v>2923.2000000000003</v>
      </c>
      <c r="E46" s="9">
        <f t="shared" si="1"/>
        <v>3491.2000000000003</v>
      </c>
      <c r="F46" s="4">
        <v>69.333333333333329</v>
      </c>
      <c r="G46" s="9">
        <f t="shared" si="3"/>
        <v>0.23831347387717688</v>
      </c>
      <c r="H46" s="9">
        <f t="shared" si="2"/>
        <v>7.8263866626330678E-4</v>
      </c>
    </row>
    <row r="47" spans="1:8" x14ac:dyDescent="0.25">
      <c r="A47" s="2">
        <v>61</v>
      </c>
      <c r="B47" s="7">
        <v>330</v>
      </c>
      <c r="C47" s="9">
        <v>4883</v>
      </c>
      <c r="D47" s="9">
        <f t="shared" si="0"/>
        <v>3906.4</v>
      </c>
      <c r="E47" s="9">
        <f t="shared" si="1"/>
        <v>4236.3999999999996</v>
      </c>
      <c r="F47" s="4">
        <v>56.333333333333336</v>
      </c>
      <c r="G47" s="9">
        <f t="shared" si="3"/>
        <v>0.15956944575583043</v>
      </c>
      <c r="H47" s="9">
        <f t="shared" si="2"/>
        <v>3.9214281160556319E-4</v>
      </c>
    </row>
    <row r="48" spans="1:8" x14ac:dyDescent="0.25">
      <c r="A48" s="2">
        <v>62</v>
      </c>
      <c r="B48" s="7">
        <v>615</v>
      </c>
      <c r="C48" s="9">
        <v>3040</v>
      </c>
      <c r="D48" s="9">
        <f t="shared" si="0"/>
        <v>2432</v>
      </c>
      <c r="E48" s="9">
        <f t="shared" si="1"/>
        <v>3047</v>
      </c>
      <c r="F48" s="4">
        <v>41.666666666666664</v>
      </c>
      <c r="G48" s="9">
        <f t="shared" si="3"/>
        <v>0.16409583196586808</v>
      </c>
      <c r="H48" s="9">
        <f t="shared" si="2"/>
        <v>6.4774670512842661E-4</v>
      </c>
    </row>
    <row r="49" spans="1:8" x14ac:dyDescent="0.25">
      <c r="A49" s="2">
        <v>63</v>
      </c>
      <c r="B49" s="7">
        <v>327</v>
      </c>
      <c r="C49" s="9">
        <v>924</v>
      </c>
      <c r="D49" s="9">
        <f t="shared" si="0"/>
        <v>739.2</v>
      </c>
      <c r="E49" s="9">
        <f t="shared" si="1"/>
        <v>1066.2</v>
      </c>
      <c r="F49" s="4">
        <v>0.33333333333333331</v>
      </c>
      <c r="G49" s="9">
        <f t="shared" si="3"/>
        <v>3.7516413430876009E-3</v>
      </c>
      <c r="H49" s="9">
        <f t="shared" si="2"/>
        <v>4.8722614845293519E-5</v>
      </c>
    </row>
    <row r="50" spans="1:8" x14ac:dyDescent="0.25">
      <c r="A50" s="2">
        <v>64</v>
      </c>
      <c r="B50" s="7">
        <v>24</v>
      </c>
      <c r="C50" s="9">
        <v>55</v>
      </c>
      <c r="D50" s="9">
        <f t="shared" si="0"/>
        <v>44</v>
      </c>
      <c r="E50" s="9">
        <f>B50+D50</f>
        <v>68</v>
      </c>
      <c r="F50" s="4">
        <v>0.83333333333333337</v>
      </c>
      <c r="G50" s="9">
        <f t="shared" si="3"/>
        <v>0.14705882352941177</v>
      </c>
      <c r="H50" s="9">
        <f t="shared" si="2"/>
        <v>3.20855614973262E-2</v>
      </c>
    </row>
  </sheetData>
  <sortState ref="A4:G50">
    <sortCondition ref="A4:A50"/>
  </sortState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07B06-F572-4807-8655-47200F02C8AE}">
  <dimension ref="A1:E28"/>
  <sheetViews>
    <sheetView workbookViewId="0">
      <selection activeCell="B27" sqref="B27:B28"/>
    </sheetView>
  </sheetViews>
  <sheetFormatPr defaultRowHeight="14.4" x14ac:dyDescent="0.3"/>
  <cols>
    <col min="1" max="1" width="5.88671875" bestFit="1" customWidth="1"/>
    <col min="2" max="2" width="10" bestFit="1" customWidth="1"/>
    <col min="3" max="3" width="9.109375" bestFit="1" customWidth="1"/>
    <col min="4" max="4" width="7.44140625" bestFit="1" customWidth="1"/>
    <col min="5" max="5" width="9" bestFit="1" customWidth="1"/>
  </cols>
  <sheetData>
    <row r="1" spans="1:5" x14ac:dyDescent="0.3">
      <c r="A1" s="13" t="s">
        <v>54</v>
      </c>
      <c r="B1" s="13" t="s">
        <v>65</v>
      </c>
      <c r="C1" s="13" t="s">
        <v>67</v>
      </c>
      <c r="D1" s="13" t="s">
        <v>66</v>
      </c>
      <c r="E1" s="13" t="s">
        <v>68</v>
      </c>
    </row>
    <row r="2" spans="1:5" x14ac:dyDescent="0.3">
      <c r="A2" s="58">
        <v>42248</v>
      </c>
      <c r="B2" s="13">
        <v>1770</v>
      </c>
      <c r="C2" s="13">
        <v>29302</v>
      </c>
      <c r="D2" s="13">
        <v>267</v>
      </c>
      <c r="E2" s="13">
        <v>1375</v>
      </c>
    </row>
    <row r="3" spans="1:5" x14ac:dyDescent="0.3">
      <c r="A3" s="58">
        <v>42278</v>
      </c>
      <c r="B3" s="13">
        <v>3088</v>
      </c>
      <c r="C3" s="13">
        <v>29102</v>
      </c>
      <c r="D3" s="13">
        <v>563</v>
      </c>
      <c r="E3" s="13">
        <v>1190</v>
      </c>
    </row>
    <row r="4" spans="1:5" x14ac:dyDescent="0.3">
      <c r="A4" s="58">
        <v>42309</v>
      </c>
      <c r="B4" s="13">
        <v>3381</v>
      </c>
      <c r="C4" s="13">
        <v>28221</v>
      </c>
      <c r="D4" s="13">
        <v>595</v>
      </c>
      <c r="E4" s="13">
        <v>1410</v>
      </c>
    </row>
    <row r="5" spans="1:5" x14ac:dyDescent="0.3">
      <c r="A5" s="58">
        <v>42339</v>
      </c>
      <c r="B5" s="13">
        <v>4535</v>
      </c>
      <c r="C5" s="13">
        <v>29312</v>
      </c>
      <c r="D5" s="13">
        <v>244</v>
      </c>
      <c r="E5" s="13">
        <v>1910</v>
      </c>
    </row>
    <row r="6" spans="1:5" x14ac:dyDescent="0.3">
      <c r="A6" s="58">
        <v>42370</v>
      </c>
      <c r="B6" s="13">
        <v>2513</v>
      </c>
      <c r="C6" s="13">
        <v>31137</v>
      </c>
      <c r="D6" s="13">
        <v>164</v>
      </c>
      <c r="E6" s="13">
        <v>1323</v>
      </c>
    </row>
    <row r="7" spans="1:5" x14ac:dyDescent="0.3">
      <c r="A7" s="58">
        <v>42401</v>
      </c>
      <c r="B7" s="13">
        <v>2856</v>
      </c>
      <c r="C7" s="13">
        <v>32428</v>
      </c>
      <c r="D7" s="13">
        <v>1001</v>
      </c>
      <c r="E7" s="13">
        <v>1131</v>
      </c>
    </row>
    <row r="8" spans="1:5" x14ac:dyDescent="0.3">
      <c r="A8" s="58">
        <v>42430</v>
      </c>
      <c r="B8" s="13">
        <v>7105</v>
      </c>
      <c r="C8" s="13">
        <v>35691</v>
      </c>
      <c r="D8" s="13">
        <v>505</v>
      </c>
      <c r="E8" s="13">
        <v>1065</v>
      </c>
    </row>
    <row r="9" spans="1:5" x14ac:dyDescent="0.3">
      <c r="A9" s="58">
        <v>42461</v>
      </c>
      <c r="B9" s="13">
        <v>5283</v>
      </c>
      <c r="C9" s="13">
        <v>31635</v>
      </c>
      <c r="D9" s="13">
        <v>241</v>
      </c>
      <c r="E9" s="13">
        <v>881</v>
      </c>
    </row>
    <row r="10" spans="1:5" x14ac:dyDescent="0.3">
      <c r="A10" s="58">
        <v>42491</v>
      </c>
      <c r="B10" s="13">
        <v>8252</v>
      </c>
      <c r="C10" s="13">
        <v>32833</v>
      </c>
      <c r="D10" s="13">
        <v>291</v>
      </c>
      <c r="E10" s="13">
        <v>916</v>
      </c>
    </row>
    <row r="11" spans="1:5" x14ac:dyDescent="0.3">
      <c r="A11" s="58">
        <v>42522</v>
      </c>
      <c r="B11" s="13">
        <v>9794</v>
      </c>
      <c r="C11" s="13">
        <v>32514</v>
      </c>
      <c r="D11" s="13">
        <v>931</v>
      </c>
      <c r="E11" s="13">
        <v>1148</v>
      </c>
    </row>
    <row r="12" spans="1:5" x14ac:dyDescent="0.3">
      <c r="A12" s="58">
        <v>42552</v>
      </c>
      <c r="B12" s="13">
        <v>8276</v>
      </c>
      <c r="C12" s="13">
        <v>33411</v>
      </c>
      <c r="D12" s="13">
        <v>2189</v>
      </c>
      <c r="E12" s="13">
        <v>1601</v>
      </c>
    </row>
    <row r="13" spans="1:5" x14ac:dyDescent="0.3">
      <c r="A13" s="58">
        <v>42583</v>
      </c>
      <c r="B13" s="13">
        <v>10659</v>
      </c>
      <c r="C13" s="13">
        <v>44544</v>
      </c>
      <c r="D13" s="13">
        <v>1109</v>
      </c>
      <c r="E13" s="13">
        <v>3846</v>
      </c>
    </row>
    <row r="14" spans="1:5" x14ac:dyDescent="0.3">
      <c r="A14" s="58">
        <v>42614</v>
      </c>
      <c r="B14" s="13">
        <v>11998</v>
      </c>
      <c r="C14" s="13">
        <v>64009</v>
      </c>
      <c r="D14" s="13">
        <v>1993</v>
      </c>
      <c r="E14" s="13">
        <v>3846</v>
      </c>
    </row>
    <row r="15" spans="1:5" x14ac:dyDescent="0.3">
      <c r="A15" s="58">
        <v>42644</v>
      </c>
      <c r="B15" s="13">
        <v>12698</v>
      </c>
      <c r="C15" s="13">
        <v>74820</v>
      </c>
      <c r="D15" s="13">
        <v>2798</v>
      </c>
      <c r="E15" s="13">
        <v>4736</v>
      </c>
    </row>
    <row r="16" spans="1:5" x14ac:dyDescent="0.3">
      <c r="A16" s="58">
        <v>42675</v>
      </c>
      <c r="B16" s="13">
        <v>15188</v>
      </c>
      <c r="C16" s="13">
        <v>87982</v>
      </c>
      <c r="D16" s="13">
        <v>1737</v>
      </c>
      <c r="E16" s="13">
        <v>5531</v>
      </c>
    </row>
    <row r="17" spans="1:5" x14ac:dyDescent="0.3">
      <c r="A17" s="58">
        <v>42705</v>
      </c>
      <c r="B17" s="13">
        <v>12425</v>
      </c>
      <c r="C17" s="13">
        <v>99913</v>
      </c>
      <c r="D17" s="13">
        <v>1249</v>
      </c>
      <c r="E17" s="13">
        <v>5762</v>
      </c>
    </row>
    <row r="18" spans="1:5" x14ac:dyDescent="0.3">
      <c r="A18" s="58">
        <v>42736</v>
      </c>
      <c r="B18" s="13">
        <v>7711</v>
      </c>
      <c r="C18" s="13">
        <v>100065</v>
      </c>
      <c r="D18" s="13">
        <v>624</v>
      </c>
      <c r="E18" s="13">
        <v>6085</v>
      </c>
    </row>
    <row r="19" spans="1:5" x14ac:dyDescent="0.3">
      <c r="A19" s="58">
        <v>42767</v>
      </c>
      <c r="B19" s="13">
        <v>10465</v>
      </c>
      <c r="C19" s="13">
        <v>98230</v>
      </c>
      <c r="D19" s="13">
        <v>894</v>
      </c>
      <c r="E19" s="13">
        <v>5001</v>
      </c>
    </row>
    <row r="20" spans="1:5" x14ac:dyDescent="0.3">
      <c r="A20" s="58">
        <v>42795</v>
      </c>
      <c r="B20" s="13">
        <v>10776</v>
      </c>
      <c r="C20" s="13">
        <v>99866</v>
      </c>
      <c r="D20" s="13">
        <v>1800</v>
      </c>
      <c r="E20" s="13">
        <v>5024</v>
      </c>
    </row>
    <row r="21" spans="1:5" x14ac:dyDescent="0.3">
      <c r="A21" s="58">
        <v>42826</v>
      </c>
      <c r="B21" s="13">
        <v>7485</v>
      </c>
      <c r="C21" s="13">
        <v>93258</v>
      </c>
      <c r="D21" s="13">
        <v>711</v>
      </c>
      <c r="E21" s="13">
        <v>4408</v>
      </c>
    </row>
    <row r="22" spans="1:5" x14ac:dyDescent="0.3">
      <c r="A22" s="58">
        <v>42856</v>
      </c>
      <c r="B22" s="13">
        <v>11776</v>
      </c>
      <c r="C22" s="13">
        <v>97750</v>
      </c>
      <c r="D22" s="13">
        <v>2098</v>
      </c>
      <c r="E22" s="13">
        <v>4084</v>
      </c>
    </row>
    <row r="23" spans="1:5" x14ac:dyDescent="0.3">
      <c r="A23" s="58">
        <v>42887</v>
      </c>
      <c r="B23" s="13">
        <v>14559</v>
      </c>
      <c r="C23" s="13">
        <v>110207</v>
      </c>
      <c r="D23" s="13">
        <v>2433</v>
      </c>
      <c r="E23" s="13">
        <v>6635</v>
      </c>
    </row>
    <row r="24" spans="1:5" x14ac:dyDescent="0.3">
      <c r="A24" s="58">
        <v>42917</v>
      </c>
      <c r="B24" s="13">
        <v>4228</v>
      </c>
      <c r="C24" s="13">
        <v>118207</v>
      </c>
      <c r="D24" s="13">
        <v>764</v>
      </c>
      <c r="E24" s="13">
        <v>12120</v>
      </c>
    </row>
    <row r="25" spans="1:5" x14ac:dyDescent="0.3">
      <c r="A25" s="58">
        <v>42948</v>
      </c>
      <c r="B25" s="13">
        <v>9647</v>
      </c>
      <c r="C25" s="13">
        <v>132712</v>
      </c>
      <c r="D25" s="13">
        <v>60</v>
      </c>
      <c r="E25" s="13">
        <v>13095</v>
      </c>
    </row>
    <row r="27" spans="1:5" x14ac:dyDescent="0.3">
      <c r="B27" s="60">
        <f>C2*20</f>
        <v>586040</v>
      </c>
      <c r="C27" s="59">
        <f>C2/B2</f>
        <v>16.554802259887005</v>
      </c>
      <c r="D27" s="59"/>
      <c r="E27" s="59">
        <f>E2/D2</f>
        <v>5.1498127340823974</v>
      </c>
    </row>
    <row r="28" spans="1:5" x14ac:dyDescent="0.3">
      <c r="B28" s="60">
        <f>C25*20</f>
        <v>2654240</v>
      </c>
      <c r="C28" s="59">
        <f>C25/B25</f>
        <v>13.756815590338965</v>
      </c>
      <c r="D28" s="59"/>
      <c r="E28" s="59">
        <f>E25/D25</f>
        <v>218.25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2D55A22F94E242B8835076F74181F8" ma:contentTypeVersion="2" ma:contentTypeDescription="Create a new document." ma:contentTypeScope="" ma:versionID="54e46357063b8c30f67f5bec4cb2125b">
  <xsd:schema xmlns:xsd="http://www.w3.org/2001/XMLSchema" xmlns:xs="http://www.w3.org/2001/XMLSchema" xmlns:p="http://schemas.microsoft.com/office/2006/metadata/properties" xmlns:ns2="19d0606e-a474-41ac-865e-6468c2e77354" targetNamespace="http://schemas.microsoft.com/office/2006/metadata/properties" ma:root="true" ma:fieldsID="190e81d982dcb6a6e0eb7e9c767356ac" ns2:_="">
    <xsd:import namespace="19d0606e-a474-41ac-865e-6468c2e773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d0606e-a474-41ac-865e-6468c2e773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784FD58-434D-4746-A2DF-F25C22D8C3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d0606e-a474-41ac-865e-6468c2e773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77FA97-FF89-45B9-A3A5-3DAD9DF25D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EDEADA-6C30-4178-B41E-96EC24990B2C}">
  <ds:schemaRefs>
    <ds:schemaRef ds:uri="http://purl.org/dc/terms/"/>
    <ds:schemaRef ds:uri="http://schemas.openxmlformats.org/package/2006/metadata/core-properties"/>
    <ds:schemaRef ds:uri="19d0606e-a474-41ac-865e-6468c2e77354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 DATA</vt:lpstr>
      <vt:lpstr>Sheet5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Cavagnolo</dc:creator>
  <cp:lastModifiedBy>Marc Cavagnolo</cp:lastModifiedBy>
  <dcterms:created xsi:type="dcterms:W3CDTF">2017-10-05T15:04:17Z</dcterms:created>
  <dcterms:modified xsi:type="dcterms:W3CDTF">2017-10-13T18:34:15Z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0x010100B52D55A22F94E242B8835076F74181F8</vt:lpwstr>
  </property>
</Properties>
</file>